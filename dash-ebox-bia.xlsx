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beatriz.borges\Downloads\"/>
    </mc:Choice>
  </mc:AlternateContent>
  <xr:revisionPtr revIDLastSave="0" documentId="13_ncr:1_{801C011D-DBF5-45CF-8581-6C56EB3DCC05}" xr6:coauthVersionLast="47" xr6:coauthVersionMax="47" xr10:uidLastSave="{00000000-0000-0000-0000-000000000000}"/>
  <bookViews>
    <workbookView xWindow="-110" yWindow="-110" windowWidth="19420" windowHeight="10300" activeTab="3" xr2:uid="{28DD5B76-0634-4F87-BE60-8BFA7EF2E23B}"/>
  </bookViews>
  <sheets>
    <sheet name="A̳ssets" sheetId="1" r:id="rId1"/>
    <sheet name="B̳ases" sheetId="2" r:id="rId2"/>
    <sheet name="C̳álculos" sheetId="3" r:id="rId3"/>
    <sheet name="D̳ashboard" sheetId="4" r:id="rId4"/>
  </sheets>
  <definedNames>
    <definedName name="Slicer_Subscription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3" l="1"/>
  <c r="F29" i="3"/>
</calcChain>
</file>

<file path=xl/sharedStrings.xml><?xml version="1.0" encoding="utf-8"?>
<sst xmlns="http://schemas.openxmlformats.org/spreadsheetml/2006/main" count="2018" uniqueCount="320">
  <si>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</si>
  <si>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</si>
  <si>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</si>
  <si>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</si>
  <si>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</si>
  <si>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</si>
  <si>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</si>
  <si>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</si>
  <si>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</si>
  <si>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</si>
  <si>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</si>
  <si>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</si>
  <si>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</si>
  <si>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</si>
  <si>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</si>
  <si>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</si>
  <si>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</si>
  <si>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</si>
  <si>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</si>
  <si>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</si>
  <si>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</si>
  <si>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</si>
  <si>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</si>
  <si>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</si>
  <si>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</si>
  <si>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</si>
  <si>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</si>
  <si>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</si>
  <si>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</si>
  <si>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</si>
  <si>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</si>
  <si>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</si>
  <si>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</si>
  <si>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</si>
  <si>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</si>
  <si>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</si>
  <si>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</si>
  <si>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</si>
  <si>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</si>
  <si>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</si>
  <si>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</si>
  <si>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</si>
  <si>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</si>
  <si>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</si>
  <si>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</si>
  <si>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</si>
  <si>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</si>
  <si>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</si>
  <si>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</si>
  <si>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</si>
  <si>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</si>
  <si>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</si>
  <si>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</si>
  <si>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</si>
  <si>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</si>
  <si>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</si>
  <si>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</si>
  <si>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</si>
  <si>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</si>
  <si>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</si>
  <si>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</si>
  <si>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</si>
  <si>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</si>
  <si>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</si>
  <si>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</si>
  <si>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</si>
  <si>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</si>
  <si>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</si>
  <si>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</si>
  <si>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</si>
  <si>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</si>
  <si>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</si>
  <si>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</si>
  <si>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</si>
  <si>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</si>
  <si>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</si>
  <si>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</si>
  <si>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</si>
  <si>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</si>
  <si>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</si>
  <si>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</si>
  <si>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</si>
  <si>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</si>
  <si>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</si>
  <si>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</si>
  <si>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</si>
  <si>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</si>
  <si>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</si>
  <si>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</si>
  <si>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</si>
  <si>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</si>
  <si>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</si>
  <si>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</si>
  <si>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</si>
  <si>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</si>
  <si>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</si>
  <si>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</si>
  <si>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</si>
  <si>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</si>
  <si>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</si>
  <si>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</si>
  <si>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</si>
  <si>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</si>
  <si>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</si>
  <si>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</si>
  <si>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</si>
  <si>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</si>
  <si>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</si>
  <si>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</si>
  <si>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</si>
  <si>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</si>
  <si>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</si>
  <si>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</si>
  <si>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</si>
  <si>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</si>
  <si>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</si>
  <si>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</si>
  <si>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</si>
  <si>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</si>
  <si>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</si>
  <si>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</si>
  <si>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</si>
  <si>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</si>
  <si>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</si>
  <si>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</si>
  <si>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</si>
  <si>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</si>
  <si>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</si>
  <si>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</si>
  <si>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</si>
  <si>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</si>
  <si>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</si>
  <si>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</si>
  <si>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</si>
  <si>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</si>
  <si>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</si>
  <si>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</si>
  <si>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</si>
  <si>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</si>
  <si>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</si>
  <si>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</si>
  <si>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</si>
  <si>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</si>
  <si>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</si>
  <si>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</si>
  <si>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</si>
  <si>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</si>
  <si>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</si>
  <si>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</si>
  <si>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</si>
  <si>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</si>
  <si>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</si>
  <si>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</si>
  <si>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</si>
  <si>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</si>
  <si>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</si>
  <si>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</si>
  <si>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</si>
  <si>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</si>
  <si>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</si>
  <si>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</si>
  <si>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</si>
  <si>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</si>
  <si>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</si>
  <si>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</si>
  <si>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</si>
  <si>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</si>
  <si>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</si>
  <si>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</si>
  <si>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</si>
  <si>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</si>
  <si>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</si>
  <si>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</si>
  <si>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</si>
  <si>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</si>
  <si>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</si>
  <si>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</si>
  <si>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</si>
  <si>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</si>
  <si>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</si>
  <si>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</si>
  <si>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</si>
  <si>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</si>
  <si>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</si>
  <si>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</si>
  <si>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</si>
  <si>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</si>
  <si>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</si>
  <si>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</si>
  <si>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</si>
  <si>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</si>
  <si>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</si>
  <si>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</si>
  <si>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</si>
  <si>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</si>
  <si>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</si>
  <si>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</si>
  <si>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</si>
  <si>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</si>
  <si>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</si>
  <si>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</si>
  <si>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</si>
  <si>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</si>
  <si>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</si>
  <si>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</si>
  <si>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</si>
  <si>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</si>
  <si>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</si>
  <si>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</si>
  <si>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</si>
  <si>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</si>
  <si>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</si>
  <si>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</si>
  <si>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</si>
  <si>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</si>
  <si>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</si>
  <si>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</si>
  <si>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</si>
  <si>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</si>
  <si>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</si>
  <si>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</si>
  <si>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</si>
  <si>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</si>
  <si>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</si>
  <si>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</si>
  <si>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</si>
  <si>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</si>
  <si>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</si>
  <si>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</si>
  <si>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</si>
  <si>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</si>
  <si>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</si>
  <si>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</si>
  <si>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</si>
  <si>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</si>
  <si>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</si>
  <si>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</si>
  <si>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</si>
  <si>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</si>
  <si>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</si>
  <si>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</si>
  <si>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</si>
  <si>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</si>
  <si>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</si>
  <si>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</si>
  <si>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</si>
  <si>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</si>
  <si>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</si>
  <si>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</si>
  <si>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</si>
  <si>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</si>
  <si>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</si>
  <si>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</si>
  <si>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</si>
  <si>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</si>
  <si>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</si>
  <si>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</si>
  <si>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</si>
  <si>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</si>
  <si>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</si>
  <si>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</si>
  <si>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</si>
  <si>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</si>
  <si>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</si>
  <si>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</si>
  <si>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</si>
  <si>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</si>
  <si>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</si>
  <si>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</si>
  <si>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</si>
  <si>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</si>
  <si>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</si>
  <si>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</si>
  <si>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</si>
  <si>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</si>
  <si>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</si>
  <si>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</si>
  <si>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</si>
  <si>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</si>
  <si>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</si>
  <si>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</si>
  <si>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</si>
  <si>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</si>
  <si>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</si>
  <si>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</si>
  <si>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</si>
  <si>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</si>
  <si>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</si>
  <si>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</si>
  <si>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</si>
  <si>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</si>
  <si>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</si>
  <si>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</si>
  <si>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</si>
  <si>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</si>
  <si>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</si>
  <si>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</si>
  <si>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</si>
  <si>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</si>
  <si>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</si>
  <si>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</si>
  <si>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</si>
  <si>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</si>
  <si>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</si>
  <si>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</si>
  <si>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</si>
  <si>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</si>
  <si>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</si>
  <si>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</si>
  <si>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</si>
  <si>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</si>
  <si>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</si>
  <si>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</si>
  <si>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Row Labels</t>
  </si>
  <si>
    <t>Grand Total</t>
  </si>
  <si>
    <t>Sum of Total Value</t>
  </si>
  <si>
    <t>XBOX GAME PASS SUBCRIPTION SALES</t>
  </si>
  <si>
    <t>Sum of EA Play Season Pass</t>
  </si>
  <si>
    <t>Sum of Minecraft Season Pass Price</t>
  </si>
  <si>
    <t xml:space="preserve">Calculation period: 06/10/2026   | Update date: 06/10/2026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</si>
</sst>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R$&quot;\ * #,##0.00_-;\-&quot;R$&quot;\ * #,##0.00_-;_-&quot;R$&quot;\ * &quot;-&quot;??_-;_-@_-"/>
  </numFmts>
  <fonts count="5"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5"/>
      <color rgb="FF22C55E"/>
      <name val="Segoe UI"/>
      <family val="2"/>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theme="0"/>
        <bgColor indexed="64"/>
      </patternFill>
    </fill>
  </fills>
  <borders count="3">
    <border>
      <left/>
      <right/>
      <top/>
      <bottom/>
      <diagonal/>
    </border>
    <border>
      <left/>
      <right/>
      <top/>
      <bottom style="thick">
        <color theme="4"/>
      </bottom>
      <diagonal/>
    </border>
    <border>
      <left/>
      <right/>
      <top/>
      <bottom style="thick">
        <color rgb="FF5BF6A8"/>
      </bottom>
      <diagonal/>
    </border>
  </borders>
  <cellStyleXfs count="3">
    <xf numFmtId="0" fontId="0" fillId="0" borderId="0"/>
    <xf numFmtId="0" fontId="1" fillId="0" borderId="1" applyNumberFormat="0" applyFill="0" applyAlignment="0" applyProtection="0"/>
    <xf numFmtId="164" fontId="2" fillId="0" borderId="0" applyFont="0" applyFill="0" applyBorder="0" applyAlignment="0" applyProtection="0"/>
  </cellStyleXfs>
  <cellXfs count="20">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164" fontId="0" fillId="0" borderId="0" xfId="2" applyFont="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0" fontId="0" fillId="8" borderId="0" xfId="0" applyFill="1"/>
    <xf numFmtId="164" fontId="0" fillId="0" borderId="0" xfId="2" applyFont="1"/>
    <xf numFmtId="0" fontId="3" fillId="7" borderId="0" xfId="0" applyFont="1" applyFill="1"/>
    <xf numFmtId="0" fontId="4" fillId="0" borderId="2" xfId="1" applyFont="1" applyBorder="1" applyAlignment="1">
      <alignment horizontal="center"/>
    </xf>
    <xf numFmtId="0" fontId="0" fillId="7" borderId="0" xfId="0" applyFill="1" applyAlignment="1">
      <alignment horizontal="center" wrapText="1"/>
    </xf>
  </cellXfs>
  <cellStyles count="3">
    <cellStyle name="Currency" xfId="2" builtinId="4"/>
    <cellStyle name="Heading 1" xfId="1" builtinId="16"/>
    <cellStyle name="Normal" xfId="0" builtinId="0"/>
  </cellStyles>
  <dxfs count="18">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theme="8"/>
        </bottom>
        <vertical/>
        <horizontal/>
      </border>
    </dxf>
    <dxf>
      <font>
        <color theme="1"/>
      </font>
      <fill>
        <patternFill>
          <bgColor rgb="FF2AE6B1"/>
        </patternFill>
      </fill>
      <border>
        <left/>
        <right/>
        <top/>
        <bottom/>
        <vertical/>
        <horizontal/>
      </border>
    </dxf>
  </dxfs>
  <tableStyles count="2" defaultTableStyle="TableStyleMedium2" defaultPivotStyle="PivotStyleLight16">
    <tableStyle name="SlicerStyleLight5 2" pivot="0" table="0" count="10" xr9:uid="{5EC7F4BA-DD4F-459C-BD5D-166308BEDEED}">
      <tableStyleElement type="wholeTable" dxfId="17"/>
      <tableStyleElement type="headerRow" dxfId="16"/>
    </tableStyle>
    <tableStyle name="SlicerStyleOther2 2" pivot="0" table="0" count="10" xr9:uid="{58326E2F-155B-416D-9C9C-87B12ABC715A}">
      <tableStyleElement type="wholeTable" dxfId="15"/>
      <tableStyleElement type="headerRow" dxfId="14"/>
    </tableStyle>
  </tableStyles>
  <colors>
    <mruColors>
      <color rgb="FF2AE6B1"/>
      <color rgb="FF5BF6A8"/>
      <color rgb="FF9BC848"/>
      <color rgb="FF22C55E"/>
      <color rgb="FFE8E6E9"/>
      <color rgb="FF000000"/>
      <color rgb="FFE0E0E0"/>
      <color rgb="FFEDEDED"/>
      <color rgb="FFF7F8FC"/>
      <color rgb="FFE70011"/>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BC848"/>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[805d54f9-6d53-4246-bed7-4aa2da615923.xlsx]C̳álculos!tbl_annual_total</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solidFill>
              <a:schemeClr val="bg1"/>
            </a:solidFill>
          </a:ln>
          <a:effectLst/>
        </c:spPr>
      </c:pivotFmt>
      <c:pivotFmt>
        <c:idx val="2"/>
        <c:spPr>
          <a:solidFill>
            <a:srgbClr val="5BF6A8"/>
          </a:solidFill>
          <a:ln>
            <a:solidFill>
              <a:schemeClr val="bg1"/>
            </a:solid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BF6A8"/>
          </a:solidFill>
          <a:ln>
            <a:solidFill>
              <a:schemeClr val="bg1"/>
            </a:solidFill>
          </a:ln>
          <a:effectLst/>
        </c:spPr>
      </c:pivotFmt>
      <c:pivotFmt>
        <c:idx val="5"/>
        <c:spPr>
          <a:solidFill>
            <a:srgbClr val="5BF6A8"/>
          </a:solidFill>
          <a:ln>
            <a:solidFill>
              <a:schemeClr val="bg1"/>
            </a:solid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AE6B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F6A8"/>
          </a:solidFill>
          <a:ln>
            <a:solidFill>
              <a:schemeClr val="bg1"/>
            </a:solidFill>
          </a:ln>
          <a:effectLst/>
        </c:spPr>
      </c:pivotFmt>
      <c:pivotFmt>
        <c:idx val="8"/>
        <c:spPr>
          <a:solidFill>
            <a:srgbClr val="5BF6A8"/>
          </a:solidFill>
          <a:ln>
            <a:solidFill>
              <a:schemeClr val="bg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2AE6B1"/>
                    </a:solidFill>
                    <a:latin typeface="+mn-lt"/>
                    <a:ea typeface="+mn-ea"/>
                    <a:cs typeface="+mn-cs"/>
                  </a:defRPr>
                </a:pPr>
                <a:fld id="{D342A34C-31F4-46A3-9EE6-3543F5449A47}" type="VALUE">
                  <a:rPr lang="en-US" b="1"/>
                  <a:pPr>
                    <a:defRPr b="0">
                      <a:solidFill>
                        <a:srgbClr val="2AE6B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E6B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238311129388713"/>
          <c:y val="1.8445845374159826E-3"/>
          <c:w val="0.81987200414535066"/>
          <c:h val="0.82405456334001959"/>
        </c:manualLayout>
      </c:layout>
      <c:barChart>
        <c:barDir val="bar"/>
        <c:grouping val="clustered"/>
        <c:varyColors val="0"/>
        <c:ser>
          <c:idx val="0"/>
          <c:order val="0"/>
          <c:tx>
            <c:strRef>
              <c:f>C̳álculos!$D$7</c:f>
              <c:strCache>
                <c:ptCount val="1"/>
                <c:pt idx="0">
                  <c:v>Total</c:v>
                </c:pt>
              </c:strCache>
            </c:strRef>
          </c:tx>
          <c:spPr>
            <a:solidFill>
              <a:schemeClr val="accent1"/>
            </a:solidFill>
            <a:ln>
              <a:noFill/>
            </a:ln>
            <a:effectLst/>
          </c:spPr>
          <c:invertIfNegative val="0"/>
          <c:dPt>
            <c:idx val="0"/>
            <c:invertIfNegative val="0"/>
            <c:bubble3D val="0"/>
            <c:spPr>
              <a:solidFill>
                <a:srgbClr val="5BF6A8"/>
              </a:solidFill>
              <a:ln>
                <a:solidFill>
                  <a:schemeClr val="bg1"/>
                </a:solidFill>
              </a:ln>
              <a:effectLst/>
            </c:spPr>
            <c:extLst>
              <c:ext xmlns:c16="http://schemas.microsoft.com/office/drawing/2014/chart" uri="{C3380CC4-5D6E-409C-BE32-E72D297353CC}">
                <c16:uniqueId val="{00000001-E3A5-4E43-8102-1A88FEE0D861}"/>
              </c:ext>
            </c:extLst>
          </c:dPt>
          <c:dPt>
            <c:idx val="1"/>
            <c:invertIfNegative val="0"/>
            <c:bubble3D val="0"/>
            <c:spPr>
              <a:solidFill>
                <a:srgbClr val="5BF6A8"/>
              </a:solidFill>
              <a:ln>
                <a:solidFill>
                  <a:schemeClr val="bg1"/>
                </a:solidFill>
              </a:ln>
              <a:effectLst/>
            </c:spPr>
            <c:extLst>
              <c:ext xmlns:c16="http://schemas.microsoft.com/office/drawing/2014/chart" uri="{C3380CC4-5D6E-409C-BE32-E72D297353CC}">
                <c16:uniqueId val="{00000003-E3A5-4E43-8102-1A88FEE0D861}"/>
              </c:ext>
            </c:extLst>
          </c:dPt>
          <c:dLbls>
            <c:dLbl>
              <c:idx val="1"/>
              <c:tx>
                <c:rich>
                  <a:bodyPr rot="0" spcFirstLastPara="1" vertOverflow="ellipsis" vert="horz" wrap="square" lIns="38100" tIns="19050" rIns="38100" bIns="19050" anchor="ctr" anchorCtr="1">
                    <a:spAutoFit/>
                  </a:bodyPr>
                  <a:lstStyle/>
                  <a:p>
                    <a:pPr>
                      <a:defRPr sz="900" b="0" i="0" u="none" strike="noStrike" kern="1200" baseline="0">
                        <a:solidFill>
                          <a:srgbClr val="2AE6B1"/>
                        </a:solidFill>
                        <a:latin typeface="+mn-lt"/>
                        <a:ea typeface="+mn-ea"/>
                        <a:cs typeface="+mn-cs"/>
                      </a:defRPr>
                    </a:pPr>
                    <a:fld id="{D342A34C-31F4-46A3-9EE6-3543F5449A47}" type="VALUE">
                      <a:rPr lang="en-US" b="1"/>
                      <a:pPr>
                        <a:defRPr b="0">
                          <a:solidFill>
                            <a:srgbClr val="2AE6B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E6B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3A5-4E43-8102-1A88FEE0D8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AE6B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C̳álculos!$C$8:$C$10</c:f>
              <c:strCache>
                <c:ptCount val="2"/>
                <c:pt idx="0">
                  <c:v>No</c:v>
                </c:pt>
                <c:pt idx="1">
                  <c:v>Yes</c:v>
                </c:pt>
              </c:strCache>
            </c:strRef>
          </c:cat>
          <c:val>
            <c:numRef>
              <c:f>C̳álculos!$D$8:$D$10</c:f>
              <c:numCache>
                <c:formatCode>_-"R$"\ * #,##0.00_-;\-"R$"\ * #,##0.00_-;_-"R$"\ * "-"??_-;_-@_-</c:formatCode>
                <c:ptCount val="2"/>
                <c:pt idx="0">
                  <c:v>806</c:v>
                </c:pt>
                <c:pt idx="1">
                  <c:v>1502</c:v>
                </c:pt>
              </c:numCache>
            </c:numRef>
          </c:val>
          <c:extLst>
            <c:ext xmlns:c16="http://schemas.microsoft.com/office/drawing/2014/chart" uri="{C3380CC4-5D6E-409C-BE32-E72D297353CC}">
              <c16:uniqueId val="{00000004-E3A5-4E43-8102-1A88FEE0D861}"/>
            </c:ext>
          </c:extLst>
        </c:ser>
        <c:dLbls>
          <c:showLegendKey val="0"/>
          <c:showVal val="0"/>
          <c:showCatName val="0"/>
          <c:showSerName val="0"/>
          <c:showPercent val="0"/>
          <c:showBubbleSize val="0"/>
        </c:dLbls>
        <c:gapWidth val="182"/>
        <c:axId val="1347362671"/>
        <c:axId val="531422479"/>
      </c:barChart>
      <c:catAx>
        <c:axId val="134736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22479"/>
        <c:crosses val="autoZero"/>
        <c:auto val="1"/>
        <c:lblAlgn val="ctr"/>
        <c:lblOffset val="100"/>
        <c:noMultiLvlLbl val="0"/>
      </c:catAx>
      <c:valAx>
        <c:axId val="531422479"/>
        <c:scaling>
          <c:orientation val="minMax"/>
        </c:scaling>
        <c:delete val="1"/>
        <c:axPos val="b"/>
        <c:numFmt formatCode="_-&quot;R$&quot;\ * #,##0.00_-;\-&quot;R$&quot;\ * #,##0.00_-;_-&quot;R$&quot;\ * &quot;-&quot;??_-;_-@_-" sourceLinked="1"/>
        <c:majorTickMark val="none"/>
        <c:minorTickMark val="none"/>
        <c:tickLblPos val="nextTo"/>
        <c:crossAx val="13473626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1.xml"/><Relationship Id="rId5" Type="http://schemas.openxmlformats.org/officeDocument/2006/relationships/image" Target="../media/image10.sv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238749"/>
          <a:ext cx="1549476" cy="7270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6</xdr:row>
      <xdr:rowOff>0</xdr:rowOff>
    </xdr:from>
    <xdr:to>
      <xdr:col>11</xdr:col>
      <xdr:colOff>304800</xdr:colOff>
      <xdr:row>7</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6</xdr:row>
      <xdr:rowOff>0</xdr:rowOff>
    </xdr:from>
    <xdr:to>
      <xdr:col>13</xdr:col>
      <xdr:colOff>304800</xdr:colOff>
      <xdr:row>7</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79375</xdr:colOff>
      <xdr:row>0</xdr:row>
      <xdr:rowOff>103187</xdr:rowOff>
    </xdr:from>
    <xdr:to>
      <xdr:col>0</xdr:col>
      <xdr:colOff>920750</xdr:colOff>
      <xdr:row>2</xdr:row>
      <xdr:rowOff>261937</xdr:rowOff>
    </xdr:to>
    <xdr:pic>
      <xdr:nvPicPr>
        <xdr:cNvPr id="2" name="Imagem 4">
          <a:extLst>
            <a:ext uri="{FF2B5EF4-FFF2-40B4-BE49-F238E27FC236}">
              <a16:creationId xmlns:a16="http://schemas.microsoft.com/office/drawing/2014/main" id="{A7D356D9-1C00-48A4-BAB8-30C902AF8AF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0847" b="15855"/>
        <a:stretch>
          <a:fillRect/>
        </a:stretch>
      </xdr:blipFill>
      <xdr:spPr>
        <a:xfrm>
          <a:off x="79375" y="103187"/>
          <a:ext cx="841375" cy="833438"/>
        </a:xfrm>
        <a:prstGeom prst="rect">
          <a:avLst/>
        </a:prstGeom>
      </xdr:spPr>
    </xdr:pic>
    <xdr:clientData/>
  </xdr:twoCellAnchor>
  <xdr:twoCellAnchor editAs="oneCell">
    <xdr:from>
      <xdr:col>0</xdr:col>
      <xdr:colOff>238126</xdr:colOff>
      <xdr:row>5</xdr:row>
      <xdr:rowOff>92075</xdr:rowOff>
    </xdr:from>
    <xdr:to>
      <xdr:col>0</xdr:col>
      <xdr:colOff>2066926</xdr:colOff>
      <xdr:row>18</xdr:row>
      <xdr:rowOff>23809</xdr:rowOff>
    </xdr:to>
    <mc:AlternateContent xmlns:mc="http://schemas.openxmlformats.org/markup-compatibility/2006" xmlns:a14="http://schemas.microsoft.com/office/drawing/2010/main">
      <mc:Choice Requires="a14">
        <xdr:graphicFrame macro="">
          <xdr:nvGraphicFramePr>
            <xdr:cNvPr id="4" name="Subscription Type 1">
              <a:extLst>
                <a:ext uri="{FF2B5EF4-FFF2-40B4-BE49-F238E27FC236}">
                  <a16:creationId xmlns:a16="http://schemas.microsoft.com/office/drawing/2014/main" id="{3B452E2A-9098-4BEA-AE8A-E486050CEAC6}"/>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mlns="">
        <xdr:sp macro="" textlink="">
          <xdr:nvSpPr>
            <xdr:cNvPr id="0" name=""/>
            <xdr:cNvSpPr>
              <a:spLocks noTextEdit="1"/>
            </xdr:cNvSpPr>
          </xdr:nvSpPr>
          <xdr:spPr>
            <a:xfrm>
              <a:off x="238126" y="1298575"/>
              <a:ext cx="1828800" cy="2636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306820</xdr:colOff>
      <xdr:row>8</xdr:row>
      <xdr:rowOff>129157</xdr:rowOff>
    </xdr:from>
    <xdr:to>
      <xdr:col>8</xdr:col>
      <xdr:colOff>579870</xdr:colOff>
      <xdr:row>16</xdr:row>
      <xdr:rowOff>136084</xdr:rowOff>
    </xdr:to>
    <xdr:grpSp>
      <xdr:nvGrpSpPr>
        <xdr:cNvPr id="20" name="Group 19">
          <a:extLst>
            <a:ext uri="{FF2B5EF4-FFF2-40B4-BE49-F238E27FC236}">
              <a16:creationId xmlns:a16="http://schemas.microsoft.com/office/drawing/2014/main" id="{4A7A7BB5-94EE-6891-B694-14385C68D9AD}"/>
            </a:ext>
          </a:extLst>
        </xdr:cNvPr>
        <xdr:cNvGrpSpPr/>
      </xdr:nvGrpSpPr>
      <xdr:grpSpPr>
        <a:xfrm>
          <a:off x="2815070" y="2135757"/>
          <a:ext cx="3930650" cy="1480127"/>
          <a:chOff x="2832813" y="1340734"/>
          <a:chExt cx="3948579" cy="1517853"/>
        </a:xfrm>
      </xdr:grpSpPr>
      <xdr:sp macro="" textlink="">
        <xdr:nvSpPr>
          <xdr:cNvPr id="12" name="Rectangle: Rounded Corners 11">
            <a:extLst>
              <a:ext uri="{FF2B5EF4-FFF2-40B4-BE49-F238E27FC236}">
                <a16:creationId xmlns:a16="http://schemas.microsoft.com/office/drawing/2014/main" id="{7C1725BB-D6BA-7B2C-566D-D45E6A4BC7B2}"/>
              </a:ext>
            </a:extLst>
          </xdr:cNvPr>
          <xdr:cNvSpPr/>
        </xdr:nvSpPr>
        <xdr:spPr>
          <a:xfrm>
            <a:off x="2839772" y="1340734"/>
            <a:ext cx="3928862" cy="145613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F20">
        <xdr:nvSpPr>
          <xdr:cNvPr id="13" name="Rectangle: Rounded Corners 12">
            <a:extLst>
              <a:ext uri="{FF2B5EF4-FFF2-40B4-BE49-F238E27FC236}">
                <a16:creationId xmlns:a16="http://schemas.microsoft.com/office/drawing/2014/main" id="{D2D709D1-F61D-4EFF-BADD-3DE7A6CBD123}"/>
              </a:ext>
            </a:extLst>
          </xdr:cNvPr>
          <xdr:cNvSpPr/>
        </xdr:nvSpPr>
        <xdr:spPr>
          <a:xfrm>
            <a:off x="4440312" y="1759061"/>
            <a:ext cx="1939205" cy="101423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FFD4BD-48BA-404A-81E8-7FC00B4DFD3A}" type="TxLink">
              <a:rPr lang="en-US" sz="3000" b="0" i="0" u="none" strike="noStrike">
                <a:solidFill>
                  <a:srgbClr val="2AE6B1"/>
                </a:solidFill>
                <a:latin typeface="Aptos Narrow"/>
              </a:rPr>
              <a:pPr algn="ctr"/>
              <a:t> R$ 990.00 </a:t>
            </a:fld>
            <a:endParaRPr lang="en-US" sz="3000">
              <a:solidFill>
                <a:srgbClr val="2AE6B1"/>
              </a:solidFill>
            </a:endParaRPr>
          </a:p>
        </xdr:txBody>
      </xdr:sp>
      <xdr:pic>
        <xdr:nvPicPr>
          <xdr:cNvPr id="14" name="Imagem 11">
            <a:extLst>
              <a:ext uri="{FF2B5EF4-FFF2-40B4-BE49-F238E27FC236}">
                <a16:creationId xmlns:a16="http://schemas.microsoft.com/office/drawing/2014/main" id="{60BF8130-7EF1-4D75-8A97-446DE814D56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71478" y="1673765"/>
            <a:ext cx="1224761" cy="1184822"/>
          </a:xfrm>
          <a:prstGeom prst="rect">
            <a:avLst/>
          </a:prstGeom>
          <a:ln>
            <a:noFill/>
          </a:ln>
        </xdr:spPr>
      </xdr:pic>
      <xdr:sp macro="" textlink="">
        <xdr:nvSpPr>
          <xdr:cNvPr id="15" name="Rectangle: Top Corners Rounded 14">
            <a:extLst>
              <a:ext uri="{FF2B5EF4-FFF2-40B4-BE49-F238E27FC236}">
                <a16:creationId xmlns:a16="http://schemas.microsoft.com/office/drawing/2014/main" id="{BB51BB6F-6A29-762C-E07B-634646E9DB61}"/>
              </a:ext>
            </a:extLst>
          </xdr:cNvPr>
          <xdr:cNvSpPr/>
        </xdr:nvSpPr>
        <xdr:spPr>
          <a:xfrm>
            <a:off x="2832813" y="1343063"/>
            <a:ext cx="3948579" cy="461120"/>
          </a:xfrm>
          <a:prstGeom prst="round2SameRect">
            <a:avLst>
              <a:gd name="adj1" fmla="val 16667"/>
              <a:gd name="adj2" fmla="val 5634"/>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Segoe UI" panose="020B0502040204020203" pitchFamily="34" charset="0"/>
                <a:cs typeface="Segoe UI" panose="020B0502040204020203" pitchFamily="34" charset="0"/>
              </a:rPr>
              <a:t>TOTAL SUBSCRIPTIONS EA</a:t>
            </a:r>
            <a:r>
              <a:rPr lang="en-US" sz="1100" baseline="0">
                <a:latin typeface="Segoe UI" panose="020B0502040204020203" pitchFamily="34" charset="0"/>
                <a:cs typeface="Segoe UI" panose="020B0502040204020203" pitchFamily="34" charset="0"/>
              </a:rPr>
              <a:t> PLAY SEASON PASS</a:t>
            </a:r>
            <a:endParaRPr lang="en-US" sz="1100">
              <a:latin typeface="Segoe UI" panose="020B0502040204020203" pitchFamily="34" charset="0"/>
              <a:cs typeface="Segoe UI" panose="020B0502040204020203" pitchFamily="34" charset="0"/>
            </a:endParaRPr>
          </a:p>
        </xdr:txBody>
      </xdr:sp>
    </xdr:grpSp>
    <xdr:clientData/>
  </xdr:twoCellAnchor>
  <xdr:twoCellAnchor>
    <xdr:from>
      <xdr:col>10</xdr:col>
      <xdr:colOff>96560</xdr:colOff>
      <xdr:row>9</xdr:row>
      <xdr:rowOff>45154</xdr:rowOff>
    </xdr:from>
    <xdr:to>
      <xdr:col>16</xdr:col>
      <xdr:colOff>519700</xdr:colOff>
      <xdr:row>17</xdr:row>
      <xdr:rowOff>4186</xdr:rowOff>
    </xdr:to>
    <xdr:grpSp>
      <xdr:nvGrpSpPr>
        <xdr:cNvPr id="28" name="Group 27">
          <a:extLst>
            <a:ext uri="{FF2B5EF4-FFF2-40B4-BE49-F238E27FC236}">
              <a16:creationId xmlns:a16="http://schemas.microsoft.com/office/drawing/2014/main" id="{3B73A2AD-32A2-E095-E21A-63CA2D270007}"/>
            </a:ext>
          </a:extLst>
        </xdr:cNvPr>
        <xdr:cNvGrpSpPr/>
      </xdr:nvGrpSpPr>
      <xdr:grpSpPr>
        <a:xfrm>
          <a:off x="7481610" y="2235904"/>
          <a:ext cx="3928340" cy="1432232"/>
          <a:chOff x="7446685" y="1362779"/>
          <a:chExt cx="3899765" cy="1483032"/>
        </a:xfrm>
      </xdr:grpSpPr>
      <xdr:grpSp>
        <xdr:nvGrpSpPr>
          <xdr:cNvPr id="21" name="Group 20">
            <a:extLst>
              <a:ext uri="{FF2B5EF4-FFF2-40B4-BE49-F238E27FC236}">
                <a16:creationId xmlns:a16="http://schemas.microsoft.com/office/drawing/2014/main" id="{CA26D40B-F284-9EC0-4F91-95BD4A34308A}"/>
              </a:ext>
            </a:extLst>
          </xdr:cNvPr>
          <xdr:cNvGrpSpPr/>
        </xdr:nvGrpSpPr>
        <xdr:grpSpPr>
          <a:xfrm>
            <a:off x="7446685" y="1362779"/>
            <a:ext cx="3899765" cy="1483032"/>
            <a:chOff x="7493375" y="1366134"/>
            <a:chExt cx="3941787" cy="1519891"/>
          </a:xfrm>
        </xdr:grpSpPr>
        <xdr:sp macro="" textlink="">
          <xdr:nvSpPr>
            <xdr:cNvPr id="8" name="Rectangle: Rounded Corners 7">
              <a:extLst>
                <a:ext uri="{FF2B5EF4-FFF2-40B4-BE49-F238E27FC236}">
                  <a16:creationId xmlns:a16="http://schemas.microsoft.com/office/drawing/2014/main" id="{E0213DAA-D4A0-DDA2-5AB1-79940F1BB273}"/>
                </a:ext>
              </a:extLst>
            </xdr:cNvPr>
            <xdr:cNvSpPr/>
          </xdr:nvSpPr>
          <xdr:spPr>
            <a:xfrm>
              <a:off x="7534962" y="1331497"/>
              <a:ext cx="3922091" cy="145666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F29">
          <xdr:nvSpPr>
            <xdr:cNvPr id="9" name="Rectangle: Rounded Corners 8">
              <a:extLst>
                <a:ext uri="{FF2B5EF4-FFF2-40B4-BE49-F238E27FC236}">
                  <a16:creationId xmlns:a16="http://schemas.microsoft.com/office/drawing/2014/main" id="{B01DF019-BAE4-1497-5D85-6C1CA900E097}"/>
                </a:ext>
              </a:extLst>
            </xdr:cNvPr>
            <xdr:cNvSpPr/>
          </xdr:nvSpPr>
          <xdr:spPr>
            <a:xfrm>
              <a:off x="9094459" y="1783621"/>
              <a:ext cx="2223481" cy="10157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E67C0B8-D9E4-4B0F-A3F1-01BCA69CF0E8}" type="TxLink">
                <a:rPr lang="en-US" sz="3000" b="0" i="0" u="none" strike="noStrike">
                  <a:solidFill>
                    <a:srgbClr val="2AE6B1"/>
                  </a:solidFill>
                  <a:latin typeface="Aptos Narrow"/>
                  <a:ea typeface="+mn-ea"/>
                  <a:cs typeface="+mn-cs"/>
                </a:rPr>
                <a:pPr marL="0" indent="0" algn="ctr"/>
                <a:t> R$ 1,140.00 </a:t>
              </a:fld>
              <a:endParaRPr lang="en-US" sz="3000" b="0" i="0" u="none" strike="noStrike">
                <a:solidFill>
                  <a:srgbClr val="2AE6B1"/>
                </a:solidFill>
                <a:latin typeface="Aptos Narrow"/>
                <a:ea typeface="+mn-ea"/>
                <a:cs typeface="+mn-cs"/>
              </a:endParaRPr>
            </a:p>
          </xdr:txBody>
        </xdr:sp>
        <xdr:sp macro="" textlink="">
          <xdr:nvSpPr>
            <xdr:cNvPr id="16" name="Rectangle: Top Corners Rounded 15">
              <a:extLst>
                <a:ext uri="{FF2B5EF4-FFF2-40B4-BE49-F238E27FC236}">
                  <a16:creationId xmlns:a16="http://schemas.microsoft.com/office/drawing/2014/main" id="{660EB39A-67CE-243E-8CDD-9097FF311F9F}"/>
                </a:ext>
              </a:extLst>
            </xdr:cNvPr>
            <xdr:cNvSpPr/>
          </xdr:nvSpPr>
          <xdr:spPr>
            <a:xfrm>
              <a:off x="7523259" y="1331088"/>
              <a:ext cx="3941787" cy="459916"/>
            </a:xfrm>
            <a:prstGeom prst="round2SameRect">
              <a:avLst>
                <a:gd name="adj1" fmla="val 16667"/>
                <a:gd name="adj2" fmla="val 5634"/>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Segoe UI" panose="020B0502040204020203" pitchFamily="34" charset="0"/>
                  <a:cs typeface="Segoe UI" panose="020B0502040204020203" pitchFamily="34" charset="0"/>
                </a:rPr>
                <a:t>TOTAL SUBSCRIPTIONS</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MINECRAFT</a:t>
              </a:r>
              <a:r>
                <a:rPr lang="en-US" sz="1100" baseline="0">
                  <a:latin typeface="Segoe UI" panose="020B0502040204020203" pitchFamily="34" charset="0"/>
                  <a:cs typeface="Segoe UI" panose="020B0502040204020203" pitchFamily="34" charset="0"/>
                </a:rPr>
                <a:t> PLAY SEASON PASS</a:t>
              </a:r>
              <a:endParaRPr lang="en-US" sz="1100">
                <a:latin typeface="Segoe UI" panose="020B0502040204020203" pitchFamily="34" charset="0"/>
                <a:cs typeface="Segoe UI" panose="020B0502040204020203" pitchFamily="34" charset="0"/>
              </a:endParaRPr>
            </a:p>
          </xdr:txBody>
        </xdr:sp>
      </xdr:grpSp>
      <xdr:grpSp>
        <xdr:nvGrpSpPr>
          <xdr:cNvPr id="17" name="Agrupar 16">
            <a:extLst>
              <a:ext uri="{FF2B5EF4-FFF2-40B4-BE49-F238E27FC236}">
                <a16:creationId xmlns:a16="http://schemas.microsoft.com/office/drawing/2014/main" id="{F6574C37-6D2A-4DC3-98DB-BCD4B9CDBA24}"/>
              </a:ext>
            </a:extLst>
          </xdr:cNvPr>
          <xdr:cNvGrpSpPr/>
        </xdr:nvGrpSpPr>
        <xdr:grpSpPr>
          <a:xfrm>
            <a:off x="7874024" y="1936751"/>
            <a:ext cx="1101123" cy="653762"/>
            <a:chOff x="3495675" y="5400674"/>
            <a:chExt cx="1549476" cy="752476"/>
          </a:xfrm>
        </xdr:grpSpPr>
        <xdr:pic>
          <xdr:nvPicPr>
            <xdr:cNvPr id="18" name="Imagem 15">
              <a:extLst>
                <a:ext uri="{FF2B5EF4-FFF2-40B4-BE49-F238E27FC236}">
                  <a16:creationId xmlns:a16="http://schemas.microsoft.com/office/drawing/2014/main" id="{F67879A7-F3E8-DDE4-4ED9-C71B641D559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9" name="Gráfico 13">
              <a:extLst>
                <a:ext uri="{FF2B5EF4-FFF2-40B4-BE49-F238E27FC236}">
                  <a16:creationId xmlns:a16="http://schemas.microsoft.com/office/drawing/2014/main" id="{D2C3C53D-9FFE-FDE0-7756-D97114A7EF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5675" y="5895937"/>
              <a:ext cx="1549476" cy="257213"/>
            </a:xfrm>
            <a:prstGeom prst="rect">
              <a:avLst/>
            </a:prstGeom>
          </xdr:spPr>
        </xdr:pic>
      </xdr:grpSp>
    </xdr:grpSp>
    <xdr:clientData/>
  </xdr:twoCellAnchor>
  <xdr:twoCellAnchor>
    <xdr:from>
      <xdr:col>1</xdr:col>
      <xdr:colOff>54882</xdr:colOff>
      <xdr:row>19</xdr:row>
      <xdr:rowOff>169956</xdr:rowOff>
    </xdr:from>
    <xdr:to>
      <xdr:col>17</xdr:col>
      <xdr:colOff>98052</xdr:colOff>
      <xdr:row>44</xdr:row>
      <xdr:rowOff>63500</xdr:rowOff>
    </xdr:to>
    <xdr:grpSp>
      <xdr:nvGrpSpPr>
        <xdr:cNvPr id="27" name="Group 26">
          <a:extLst>
            <a:ext uri="{FF2B5EF4-FFF2-40B4-BE49-F238E27FC236}">
              <a16:creationId xmlns:a16="http://schemas.microsoft.com/office/drawing/2014/main" id="{DF68710C-50FA-7888-447D-7D61129F15B0}"/>
            </a:ext>
          </a:extLst>
        </xdr:cNvPr>
        <xdr:cNvGrpSpPr/>
      </xdr:nvGrpSpPr>
      <xdr:grpSpPr>
        <a:xfrm>
          <a:off x="2315482" y="4202206"/>
          <a:ext cx="9282420" cy="4497294"/>
          <a:chOff x="2499632" y="3519581"/>
          <a:chExt cx="9203045" cy="4656044"/>
        </a:xfrm>
      </xdr:grpSpPr>
      <xdr:grpSp>
        <xdr:nvGrpSpPr>
          <xdr:cNvPr id="26" name="Group 25">
            <a:extLst>
              <a:ext uri="{FF2B5EF4-FFF2-40B4-BE49-F238E27FC236}">
                <a16:creationId xmlns:a16="http://schemas.microsoft.com/office/drawing/2014/main" id="{268ABBFF-2791-CB88-50F1-F1113B63F4D6}"/>
              </a:ext>
            </a:extLst>
          </xdr:cNvPr>
          <xdr:cNvGrpSpPr/>
        </xdr:nvGrpSpPr>
        <xdr:grpSpPr>
          <a:xfrm>
            <a:off x="2499632" y="3613045"/>
            <a:ext cx="9197442" cy="4562580"/>
            <a:chOff x="2440747" y="3138449"/>
            <a:chExt cx="9247789" cy="5542908"/>
          </a:xfrm>
        </xdr:grpSpPr>
        <xdr:sp macro="" textlink="">
          <xdr:nvSpPr>
            <xdr:cNvPr id="5" name="Rectangle: Rounded Corners 4">
              <a:extLst>
                <a:ext uri="{FF2B5EF4-FFF2-40B4-BE49-F238E27FC236}">
                  <a16:creationId xmlns:a16="http://schemas.microsoft.com/office/drawing/2014/main" id="{8B0EA0A1-A3B7-11E9-71E3-7A7CCA2ACA07}"/>
                </a:ext>
              </a:extLst>
            </xdr:cNvPr>
            <xdr:cNvSpPr/>
          </xdr:nvSpPr>
          <xdr:spPr>
            <a:xfrm>
              <a:off x="2925844" y="3138449"/>
              <a:ext cx="8762692" cy="554290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68D79FA2-8D5E-41BA-82AC-B699C28024A9}"/>
                </a:ext>
              </a:extLst>
            </xdr:cNvPr>
            <xdr:cNvGraphicFramePr>
              <a:graphicFrameLocks/>
            </xdr:cNvGraphicFramePr>
          </xdr:nvGraphicFramePr>
          <xdr:xfrm>
            <a:off x="2440747" y="4642366"/>
            <a:ext cx="8944429" cy="2934336"/>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25" name="Rectangle: Top Corners Rounded 24">
            <a:extLst>
              <a:ext uri="{FF2B5EF4-FFF2-40B4-BE49-F238E27FC236}">
                <a16:creationId xmlns:a16="http://schemas.microsoft.com/office/drawing/2014/main" id="{1FE5C18B-1556-4BD7-868C-C740D7A71634}"/>
              </a:ext>
            </a:extLst>
          </xdr:cNvPr>
          <xdr:cNvSpPr/>
        </xdr:nvSpPr>
        <xdr:spPr>
          <a:xfrm>
            <a:off x="3007439" y="3519581"/>
            <a:ext cx="8695238" cy="814296"/>
          </a:xfrm>
          <a:prstGeom prst="round2SameRect">
            <a:avLst>
              <a:gd name="adj1" fmla="val 16667"/>
              <a:gd name="adj2" fmla="val 5634"/>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latin typeface="Segoe UI" panose="020B0502040204020203" pitchFamily="34" charset="0"/>
                <a:cs typeface="Segoe UI" panose="020B0502040204020203" pitchFamily="34" charset="0"/>
              </a:rPr>
              <a:t>TOTAL SUBSCRIPTIONS </a:t>
            </a:r>
            <a:r>
              <a:rPr lang="en-US" sz="1100" baseline="0">
                <a:latin typeface="Segoe UI" panose="020B0502040204020203" pitchFamily="34" charset="0"/>
                <a:cs typeface="Segoe UI" panose="020B0502040204020203" pitchFamily="34" charset="0"/>
              </a:rPr>
              <a:t> - XBOX GAME PASS</a:t>
            </a:r>
            <a:endParaRPr lang="en-US" sz="1100">
              <a:latin typeface="Segoe UI" panose="020B0502040204020203" pitchFamily="34" charset="0"/>
              <a:cs typeface="Segoe UI" panose="020B0502040204020203"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atriz Fraga (Omnicom)" refreshedDate="46301.699908449074" createdVersion="8" refreshedVersion="8" minRefreshableVersion="3" recordCount="295" xr:uid="{30C2460E-8CEF-483F-8D3B-0B9F9AAFB68B}">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164">
      <sharedItems containsMixedTypes="1" containsNumber="1" containsInteger="1" minValue="30" maxValue="30" count="2">
        <n v="30"/>
        <s v="-"/>
      </sharedItems>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1645703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s v="Yes"/>
    <x v="0"/>
    <s v="Yes"/>
    <n v="20"/>
    <n v="5"/>
    <n v="60"/>
  </r>
  <r>
    <n v="3232"/>
    <x v="1"/>
    <x v="1"/>
    <d v="2024-01-15T00:00:00"/>
    <x v="1"/>
    <n v="5"/>
    <x v="1"/>
    <s v="No"/>
    <x v="1"/>
    <s v="No"/>
    <n v="0"/>
    <n v="0"/>
    <n v="5"/>
  </r>
  <r>
    <n v="3233"/>
    <x v="2"/>
    <x v="2"/>
    <d v="2024-02-10T00:00:00"/>
    <x v="0"/>
    <n v="10"/>
    <x v="2"/>
    <s v="No"/>
    <x v="1"/>
    <s v="Yes"/>
    <n v="20"/>
    <n v="10"/>
    <n v="20"/>
  </r>
  <r>
    <n v="3234"/>
    <x v="3"/>
    <x v="0"/>
    <d v="2024-02-20T00:00:00"/>
    <x v="1"/>
    <n v="15"/>
    <x v="0"/>
    <s v="Yes"/>
    <x v="0"/>
    <s v="Yes"/>
    <n v="20"/>
    <n v="3"/>
    <n v="62"/>
  </r>
  <r>
    <n v="3235"/>
    <x v="4"/>
    <x v="1"/>
    <d v="2024-03-05T00:00:00"/>
    <x v="0"/>
    <n v="5"/>
    <x v="0"/>
    <s v="No"/>
    <x v="1"/>
    <s v="No"/>
    <n v="0"/>
    <n v="1"/>
    <n v="4"/>
  </r>
  <r>
    <n v="3236"/>
    <x v="5"/>
    <x v="2"/>
    <d v="2024-03-02T00:00:00"/>
    <x v="1"/>
    <n v="10"/>
    <x v="0"/>
    <s v="No"/>
    <x v="1"/>
    <s v="Yes"/>
    <n v="20"/>
    <n v="2"/>
    <n v="28"/>
  </r>
  <r>
    <n v="3237"/>
    <x v="6"/>
    <x v="0"/>
    <d v="2024-03-03T00:00:00"/>
    <x v="0"/>
    <n v="15"/>
    <x v="2"/>
    <s v="Yes"/>
    <x v="0"/>
    <s v="Yes"/>
    <n v="20"/>
    <n v="10"/>
    <n v="55"/>
  </r>
  <r>
    <n v="3238"/>
    <x v="7"/>
    <x v="1"/>
    <d v="2024-03-04T00:00:00"/>
    <x v="0"/>
    <n v="5"/>
    <x v="1"/>
    <s v="No"/>
    <x v="1"/>
    <s v="No"/>
    <n v="0"/>
    <n v="0"/>
    <n v="5"/>
  </r>
  <r>
    <n v="3239"/>
    <x v="8"/>
    <x v="0"/>
    <d v="2024-03-05T00:00:00"/>
    <x v="1"/>
    <n v="15"/>
    <x v="0"/>
    <s v="Yes"/>
    <x v="0"/>
    <s v="Yes"/>
    <n v="20"/>
    <n v="5"/>
    <n v="60"/>
  </r>
  <r>
    <n v="3240"/>
    <x v="9"/>
    <x v="2"/>
    <d v="2024-03-06T00:00:00"/>
    <x v="0"/>
    <n v="10"/>
    <x v="2"/>
    <s v="No"/>
    <x v="1"/>
    <s v="Yes"/>
    <n v="20"/>
    <n v="15"/>
    <n v="15"/>
  </r>
  <r>
    <n v="3241"/>
    <x v="10"/>
    <x v="1"/>
    <d v="2024-03-07T00:00:00"/>
    <x v="1"/>
    <n v="5"/>
    <x v="0"/>
    <s v="No"/>
    <x v="1"/>
    <s v="No"/>
    <n v="0"/>
    <n v="1"/>
    <n v="4"/>
  </r>
  <r>
    <n v="3242"/>
    <x v="11"/>
    <x v="0"/>
    <d v="2024-03-08T00:00:00"/>
    <x v="0"/>
    <n v="15"/>
    <x v="1"/>
    <s v="Yes"/>
    <x v="0"/>
    <s v="Yes"/>
    <n v="20"/>
    <n v="20"/>
    <n v="45"/>
  </r>
  <r>
    <n v="3243"/>
    <x v="12"/>
    <x v="2"/>
    <d v="2024-03-09T00:00:00"/>
    <x v="1"/>
    <n v="10"/>
    <x v="0"/>
    <s v="No"/>
    <x v="1"/>
    <s v="Yes"/>
    <n v="20"/>
    <n v="10"/>
    <n v="20"/>
  </r>
  <r>
    <n v="3244"/>
    <x v="13"/>
    <x v="1"/>
    <d v="2024-03-10T00:00:00"/>
    <x v="0"/>
    <n v="5"/>
    <x v="2"/>
    <s v="No"/>
    <x v="1"/>
    <s v="No"/>
    <n v="0"/>
    <n v="0"/>
    <n v="5"/>
  </r>
  <r>
    <n v="3245"/>
    <x v="14"/>
    <x v="0"/>
    <d v="2024-03-11T00:00:00"/>
    <x v="1"/>
    <n v="15"/>
    <x v="0"/>
    <s v="Yes"/>
    <x v="0"/>
    <s v="Yes"/>
    <n v="20"/>
    <n v="8"/>
    <n v="57"/>
  </r>
  <r>
    <n v="3246"/>
    <x v="15"/>
    <x v="2"/>
    <d v="2024-03-12T00:00:00"/>
    <x v="0"/>
    <n v="10"/>
    <x v="1"/>
    <s v="No"/>
    <x v="1"/>
    <s v="Yes"/>
    <n v="20"/>
    <n v="12"/>
    <n v="18"/>
  </r>
  <r>
    <n v="3247"/>
    <x v="16"/>
    <x v="1"/>
    <d v="2024-03-13T00:00:00"/>
    <x v="1"/>
    <n v="5"/>
    <x v="0"/>
    <s v="No"/>
    <x v="1"/>
    <s v="No"/>
    <n v="0"/>
    <n v="2"/>
    <n v="3"/>
  </r>
  <r>
    <n v="3248"/>
    <x v="17"/>
    <x v="0"/>
    <d v="2024-03-14T00:00:00"/>
    <x v="0"/>
    <n v="15"/>
    <x v="2"/>
    <s v="Yes"/>
    <x v="0"/>
    <s v="Yes"/>
    <n v="20"/>
    <n v="7"/>
    <n v="58"/>
  </r>
  <r>
    <n v="3249"/>
    <x v="18"/>
    <x v="2"/>
    <d v="2024-03-15T00:00:00"/>
    <x v="1"/>
    <n v="10"/>
    <x v="0"/>
    <s v="No"/>
    <x v="1"/>
    <s v="Yes"/>
    <n v="20"/>
    <n v="5"/>
    <n v="25"/>
  </r>
  <r>
    <n v="3250"/>
    <x v="19"/>
    <x v="1"/>
    <d v="2024-03-16T00:00:00"/>
    <x v="0"/>
    <n v="5"/>
    <x v="1"/>
    <s v="No"/>
    <x v="1"/>
    <s v="No"/>
    <n v="0"/>
    <n v="0"/>
    <n v="5"/>
  </r>
  <r>
    <n v="3251"/>
    <x v="20"/>
    <x v="0"/>
    <d v="2024-03-17T00:00:00"/>
    <x v="1"/>
    <n v="15"/>
    <x v="0"/>
    <s v="Yes"/>
    <x v="0"/>
    <s v="Yes"/>
    <n v="20"/>
    <n v="3"/>
    <n v="62"/>
  </r>
  <r>
    <n v="3252"/>
    <x v="21"/>
    <x v="2"/>
    <d v="2024-03-18T00:00:00"/>
    <x v="0"/>
    <n v="10"/>
    <x v="2"/>
    <s v="No"/>
    <x v="1"/>
    <s v="Yes"/>
    <n v="20"/>
    <n v="15"/>
    <n v="15"/>
  </r>
  <r>
    <n v="3253"/>
    <x v="22"/>
    <x v="1"/>
    <d v="2024-03-19T00:00:00"/>
    <x v="1"/>
    <n v="5"/>
    <x v="0"/>
    <s v="No"/>
    <x v="1"/>
    <s v="No"/>
    <n v="0"/>
    <n v="1"/>
    <n v="4"/>
  </r>
  <r>
    <n v="3254"/>
    <x v="23"/>
    <x v="0"/>
    <d v="2024-03-20T00:00:00"/>
    <x v="0"/>
    <n v="15"/>
    <x v="1"/>
    <s v="Yes"/>
    <x v="0"/>
    <s v="Yes"/>
    <n v="20"/>
    <n v="20"/>
    <n v="45"/>
  </r>
  <r>
    <n v="3255"/>
    <x v="24"/>
    <x v="2"/>
    <d v="2024-03-21T00:00:00"/>
    <x v="1"/>
    <n v="10"/>
    <x v="0"/>
    <s v="No"/>
    <x v="1"/>
    <s v="Yes"/>
    <n v="20"/>
    <n v="10"/>
    <n v="20"/>
  </r>
  <r>
    <n v="3256"/>
    <x v="25"/>
    <x v="1"/>
    <d v="2024-03-22T00:00:00"/>
    <x v="0"/>
    <n v="5"/>
    <x v="2"/>
    <s v="No"/>
    <x v="1"/>
    <s v="No"/>
    <n v="0"/>
    <n v="0"/>
    <n v="5"/>
  </r>
  <r>
    <n v="3257"/>
    <x v="26"/>
    <x v="0"/>
    <d v="2024-03-23T00:00:00"/>
    <x v="1"/>
    <n v="15"/>
    <x v="0"/>
    <s v="Yes"/>
    <x v="0"/>
    <s v="Yes"/>
    <n v="20"/>
    <n v="5"/>
    <n v="60"/>
  </r>
  <r>
    <n v="3258"/>
    <x v="27"/>
    <x v="2"/>
    <d v="2024-03-24T00:00:00"/>
    <x v="0"/>
    <n v="10"/>
    <x v="1"/>
    <s v="No"/>
    <x v="1"/>
    <s v="Yes"/>
    <n v="20"/>
    <n v="15"/>
    <n v="15"/>
  </r>
  <r>
    <n v="3259"/>
    <x v="28"/>
    <x v="1"/>
    <d v="2024-03-25T00:00:00"/>
    <x v="1"/>
    <n v="5"/>
    <x v="0"/>
    <s v="No"/>
    <x v="1"/>
    <s v="No"/>
    <n v="0"/>
    <n v="1"/>
    <n v="4"/>
  </r>
  <r>
    <n v="3260"/>
    <x v="29"/>
    <x v="0"/>
    <d v="2024-03-26T00:00:00"/>
    <x v="0"/>
    <n v="15"/>
    <x v="2"/>
    <s v="Yes"/>
    <x v="0"/>
    <s v="Yes"/>
    <n v="20"/>
    <n v="7"/>
    <n v="58"/>
  </r>
  <r>
    <n v="3261"/>
    <x v="30"/>
    <x v="2"/>
    <d v="2024-03-27T00:00:00"/>
    <x v="1"/>
    <n v="10"/>
    <x v="0"/>
    <s v="No"/>
    <x v="1"/>
    <s v="Yes"/>
    <n v="20"/>
    <n v="10"/>
    <n v="20"/>
  </r>
  <r>
    <n v="3262"/>
    <x v="31"/>
    <x v="1"/>
    <d v="2024-03-28T00:00:00"/>
    <x v="0"/>
    <n v="5"/>
    <x v="1"/>
    <s v="No"/>
    <x v="1"/>
    <s v="No"/>
    <n v="0"/>
    <n v="0"/>
    <n v="5"/>
  </r>
  <r>
    <n v="3263"/>
    <x v="32"/>
    <x v="0"/>
    <d v="2024-03-29T00:00:00"/>
    <x v="1"/>
    <n v="15"/>
    <x v="0"/>
    <s v="Yes"/>
    <x v="0"/>
    <s v="Yes"/>
    <n v="20"/>
    <n v="3"/>
    <n v="62"/>
  </r>
  <r>
    <n v="3264"/>
    <x v="33"/>
    <x v="2"/>
    <d v="2024-03-30T00:00:00"/>
    <x v="0"/>
    <n v="10"/>
    <x v="2"/>
    <s v="No"/>
    <x v="1"/>
    <s v="Yes"/>
    <n v="20"/>
    <n v="15"/>
    <n v="15"/>
  </r>
  <r>
    <n v="3265"/>
    <x v="34"/>
    <x v="1"/>
    <d v="2024-03-31T00:00:00"/>
    <x v="1"/>
    <n v="5"/>
    <x v="0"/>
    <s v="No"/>
    <x v="1"/>
    <s v="No"/>
    <n v="0"/>
    <n v="1"/>
    <n v="4"/>
  </r>
  <r>
    <n v="3266"/>
    <x v="35"/>
    <x v="1"/>
    <d v="2024-04-01T00:00:00"/>
    <x v="0"/>
    <n v="5"/>
    <x v="0"/>
    <s v="No"/>
    <x v="1"/>
    <s v="No"/>
    <n v="0"/>
    <n v="0"/>
    <n v="5"/>
  </r>
  <r>
    <n v="3267"/>
    <x v="36"/>
    <x v="0"/>
    <d v="2024-04-02T00:00:00"/>
    <x v="1"/>
    <n v="15"/>
    <x v="2"/>
    <s v="Yes"/>
    <x v="0"/>
    <s v="Yes"/>
    <n v="20"/>
    <n v="7"/>
    <n v="58"/>
  </r>
  <r>
    <n v="3268"/>
    <x v="37"/>
    <x v="2"/>
    <d v="2024-04-03T00:00:00"/>
    <x v="0"/>
    <n v="10"/>
    <x v="1"/>
    <s v="No"/>
    <x v="1"/>
    <s v="Yes"/>
    <n v="20"/>
    <n v="10"/>
    <n v="20"/>
  </r>
  <r>
    <n v="3269"/>
    <x v="38"/>
    <x v="1"/>
    <d v="2024-04-04T00:00:00"/>
    <x v="1"/>
    <n v="5"/>
    <x v="2"/>
    <s v="No"/>
    <x v="1"/>
    <s v="No"/>
    <n v="0"/>
    <n v="1"/>
    <n v="4"/>
  </r>
  <r>
    <n v="3270"/>
    <x v="39"/>
    <x v="0"/>
    <d v="2024-04-05T00:00:00"/>
    <x v="0"/>
    <n v="15"/>
    <x v="0"/>
    <s v="Yes"/>
    <x v="0"/>
    <s v="Yes"/>
    <n v="20"/>
    <n v="15"/>
    <n v="50"/>
  </r>
  <r>
    <n v="3271"/>
    <x v="40"/>
    <x v="2"/>
    <d v="2024-04-06T00:00:00"/>
    <x v="1"/>
    <n v="10"/>
    <x v="0"/>
    <s v="No"/>
    <x v="1"/>
    <s v="Yes"/>
    <n v="20"/>
    <n v="5"/>
    <n v="25"/>
  </r>
  <r>
    <n v="3272"/>
    <x v="41"/>
    <x v="1"/>
    <d v="2024-04-07T00:00:00"/>
    <x v="0"/>
    <n v="5"/>
    <x v="1"/>
    <s v="No"/>
    <x v="1"/>
    <s v="No"/>
    <n v="0"/>
    <n v="0"/>
    <n v="5"/>
  </r>
  <r>
    <n v="3273"/>
    <x v="42"/>
    <x v="0"/>
    <d v="2024-04-08T00:00:00"/>
    <x v="1"/>
    <n v="15"/>
    <x v="2"/>
    <s v="Yes"/>
    <x v="0"/>
    <s v="Yes"/>
    <n v="20"/>
    <n v="20"/>
    <n v="45"/>
  </r>
  <r>
    <n v="3274"/>
    <x v="43"/>
    <x v="2"/>
    <d v="2024-04-09T00:00:00"/>
    <x v="0"/>
    <n v="10"/>
    <x v="2"/>
    <s v="No"/>
    <x v="1"/>
    <s v="Yes"/>
    <n v="20"/>
    <n v="12"/>
    <n v="18"/>
  </r>
  <r>
    <n v="3275"/>
    <x v="44"/>
    <x v="1"/>
    <d v="2024-04-10T00:00:00"/>
    <x v="1"/>
    <n v="5"/>
    <x v="0"/>
    <s v="No"/>
    <x v="1"/>
    <s v="No"/>
    <n v="0"/>
    <n v="2"/>
    <n v="3"/>
  </r>
  <r>
    <n v="3276"/>
    <x v="45"/>
    <x v="0"/>
    <d v="2024-04-11T00:00:00"/>
    <x v="0"/>
    <n v="15"/>
    <x v="1"/>
    <s v="Yes"/>
    <x v="0"/>
    <s v="Yes"/>
    <n v="20"/>
    <n v="5"/>
    <n v="60"/>
  </r>
  <r>
    <n v="3277"/>
    <x v="46"/>
    <x v="2"/>
    <d v="2024-04-12T00:00:00"/>
    <x v="1"/>
    <n v="10"/>
    <x v="0"/>
    <s v="No"/>
    <x v="1"/>
    <s v="Yes"/>
    <n v="20"/>
    <n v="10"/>
    <n v="20"/>
  </r>
  <r>
    <n v="3278"/>
    <x v="47"/>
    <x v="1"/>
    <d v="2024-04-13T00:00:00"/>
    <x v="0"/>
    <n v="5"/>
    <x v="2"/>
    <s v="No"/>
    <x v="1"/>
    <s v="No"/>
    <n v="0"/>
    <n v="0"/>
    <n v="5"/>
  </r>
  <r>
    <n v="3279"/>
    <x v="48"/>
    <x v="0"/>
    <d v="2024-04-14T00:00:00"/>
    <x v="1"/>
    <n v="15"/>
    <x v="0"/>
    <s v="Yes"/>
    <x v="0"/>
    <s v="Yes"/>
    <n v="20"/>
    <n v="3"/>
    <n v="62"/>
  </r>
  <r>
    <n v="3280"/>
    <x v="49"/>
    <x v="2"/>
    <d v="2024-04-15T00:00:00"/>
    <x v="0"/>
    <n v="10"/>
    <x v="1"/>
    <s v="No"/>
    <x v="1"/>
    <s v="Yes"/>
    <n v="20"/>
    <n v="15"/>
    <n v="15"/>
  </r>
  <r>
    <n v="3281"/>
    <x v="50"/>
    <x v="1"/>
    <d v="2024-04-16T00:00:00"/>
    <x v="1"/>
    <n v="5"/>
    <x v="0"/>
    <s v="No"/>
    <x v="1"/>
    <s v="No"/>
    <n v="0"/>
    <n v="1"/>
    <n v="4"/>
  </r>
  <r>
    <n v="3282"/>
    <x v="51"/>
    <x v="0"/>
    <d v="2024-04-17T00:00:00"/>
    <x v="0"/>
    <n v="15"/>
    <x v="2"/>
    <s v="Yes"/>
    <x v="0"/>
    <s v="Yes"/>
    <n v="20"/>
    <n v="7"/>
    <n v="58"/>
  </r>
  <r>
    <n v="3283"/>
    <x v="52"/>
    <x v="2"/>
    <d v="2024-04-18T00:00:00"/>
    <x v="1"/>
    <n v="10"/>
    <x v="0"/>
    <s v="No"/>
    <x v="1"/>
    <s v="Yes"/>
    <n v="20"/>
    <n v="10"/>
    <n v="20"/>
  </r>
  <r>
    <n v="3284"/>
    <x v="53"/>
    <x v="1"/>
    <d v="2024-04-19T00:00:00"/>
    <x v="0"/>
    <n v="5"/>
    <x v="1"/>
    <s v="No"/>
    <x v="1"/>
    <s v="No"/>
    <n v="0"/>
    <n v="0"/>
    <n v="5"/>
  </r>
  <r>
    <n v="3285"/>
    <x v="54"/>
    <x v="0"/>
    <d v="2024-04-20T00:00:00"/>
    <x v="1"/>
    <n v="15"/>
    <x v="0"/>
    <s v="Yes"/>
    <x v="0"/>
    <s v="Yes"/>
    <n v="20"/>
    <n v="20"/>
    <n v="45"/>
  </r>
  <r>
    <n v="3286"/>
    <x v="55"/>
    <x v="2"/>
    <d v="2024-04-21T00:00:00"/>
    <x v="0"/>
    <n v="10"/>
    <x v="2"/>
    <s v="No"/>
    <x v="1"/>
    <s v="Yes"/>
    <n v="20"/>
    <n v="15"/>
    <n v="15"/>
  </r>
  <r>
    <n v="3287"/>
    <x v="56"/>
    <x v="1"/>
    <d v="2024-04-22T00:00:00"/>
    <x v="1"/>
    <n v="5"/>
    <x v="0"/>
    <s v="No"/>
    <x v="1"/>
    <s v="No"/>
    <n v="0"/>
    <n v="1"/>
    <n v="4"/>
  </r>
  <r>
    <n v="3288"/>
    <x v="57"/>
    <x v="0"/>
    <d v="2024-04-23T00:00:00"/>
    <x v="0"/>
    <n v="15"/>
    <x v="1"/>
    <s v="Yes"/>
    <x v="0"/>
    <s v="Yes"/>
    <n v="20"/>
    <n v="3"/>
    <n v="62"/>
  </r>
  <r>
    <n v="3289"/>
    <x v="58"/>
    <x v="2"/>
    <d v="2024-04-24T00:00:00"/>
    <x v="1"/>
    <n v="10"/>
    <x v="0"/>
    <s v="No"/>
    <x v="1"/>
    <s v="Yes"/>
    <n v="20"/>
    <n v="10"/>
    <n v="20"/>
  </r>
  <r>
    <n v="3290"/>
    <x v="59"/>
    <x v="1"/>
    <d v="2024-04-25T00:00:00"/>
    <x v="0"/>
    <n v="5"/>
    <x v="2"/>
    <s v="No"/>
    <x v="1"/>
    <s v="No"/>
    <n v="0"/>
    <n v="0"/>
    <n v="5"/>
  </r>
  <r>
    <n v="3291"/>
    <x v="60"/>
    <x v="0"/>
    <d v="2024-04-26T00:00:00"/>
    <x v="1"/>
    <n v="15"/>
    <x v="0"/>
    <s v="Yes"/>
    <x v="0"/>
    <s v="Yes"/>
    <n v="20"/>
    <n v="5"/>
    <n v="60"/>
  </r>
  <r>
    <n v="3292"/>
    <x v="61"/>
    <x v="2"/>
    <d v="2024-04-27T00:00:00"/>
    <x v="0"/>
    <n v="10"/>
    <x v="1"/>
    <s v="No"/>
    <x v="1"/>
    <s v="Yes"/>
    <n v="20"/>
    <n v="15"/>
    <n v="15"/>
  </r>
  <r>
    <n v="3293"/>
    <x v="62"/>
    <x v="1"/>
    <d v="2024-04-28T00:00:00"/>
    <x v="1"/>
    <n v="5"/>
    <x v="0"/>
    <s v="No"/>
    <x v="1"/>
    <s v="No"/>
    <n v="0"/>
    <n v="1"/>
    <n v="4"/>
  </r>
  <r>
    <n v="3294"/>
    <x v="63"/>
    <x v="0"/>
    <d v="2024-04-29T00:00:00"/>
    <x v="0"/>
    <n v="15"/>
    <x v="2"/>
    <s v="Yes"/>
    <x v="0"/>
    <s v="Yes"/>
    <n v="20"/>
    <n v="20"/>
    <n v="45"/>
  </r>
  <r>
    <n v="3295"/>
    <x v="64"/>
    <x v="2"/>
    <d v="2024-04-30T00:00:00"/>
    <x v="1"/>
    <n v="10"/>
    <x v="0"/>
    <s v="No"/>
    <x v="1"/>
    <s v="Yes"/>
    <n v="20"/>
    <n v="5"/>
    <n v="25"/>
  </r>
  <r>
    <n v="3296"/>
    <x v="65"/>
    <x v="1"/>
    <d v="2024-05-01T00:00:00"/>
    <x v="1"/>
    <n v="5"/>
    <x v="0"/>
    <s v="No"/>
    <x v="1"/>
    <s v="No"/>
    <n v="0"/>
    <n v="0"/>
    <n v="5"/>
  </r>
  <r>
    <n v="3297"/>
    <x v="66"/>
    <x v="0"/>
    <d v="2024-05-02T00:00:00"/>
    <x v="0"/>
    <n v="15"/>
    <x v="2"/>
    <s v="Yes"/>
    <x v="0"/>
    <s v="Yes"/>
    <n v="20"/>
    <n v="7"/>
    <n v="58"/>
  </r>
  <r>
    <n v="3298"/>
    <x v="67"/>
    <x v="2"/>
    <d v="2024-05-03T00:00:00"/>
    <x v="1"/>
    <n v="10"/>
    <x v="1"/>
    <s v="No"/>
    <x v="1"/>
    <s v="Yes"/>
    <n v="20"/>
    <n v="10"/>
    <n v="20"/>
  </r>
  <r>
    <n v="3299"/>
    <x v="68"/>
    <x v="1"/>
    <d v="2024-05-04T00:00:00"/>
    <x v="0"/>
    <n v="5"/>
    <x v="2"/>
    <s v="No"/>
    <x v="1"/>
    <s v="No"/>
    <n v="0"/>
    <n v="1"/>
    <n v="4"/>
  </r>
  <r>
    <n v="3300"/>
    <x v="69"/>
    <x v="0"/>
    <d v="2024-05-05T00:00:00"/>
    <x v="1"/>
    <n v="15"/>
    <x v="0"/>
    <s v="Yes"/>
    <x v="0"/>
    <s v="Yes"/>
    <n v="20"/>
    <n v="15"/>
    <n v="50"/>
  </r>
  <r>
    <n v="3301"/>
    <x v="70"/>
    <x v="2"/>
    <d v="2024-05-06T00:00:00"/>
    <x v="0"/>
    <n v="10"/>
    <x v="0"/>
    <s v="No"/>
    <x v="1"/>
    <s v="Yes"/>
    <n v="20"/>
    <n v="5"/>
    <n v="25"/>
  </r>
  <r>
    <n v="3302"/>
    <x v="71"/>
    <x v="1"/>
    <d v="2024-05-07T00:00:00"/>
    <x v="1"/>
    <n v="5"/>
    <x v="1"/>
    <s v="No"/>
    <x v="1"/>
    <s v="No"/>
    <n v="0"/>
    <n v="0"/>
    <n v="5"/>
  </r>
  <r>
    <n v="3303"/>
    <x v="72"/>
    <x v="0"/>
    <d v="2024-05-08T00:00:00"/>
    <x v="0"/>
    <n v="15"/>
    <x v="2"/>
    <s v="Yes"/>
    <x v="0"/>
    <s v="Yes"/>
    <n v="20"/>
    <n v="20"/>
    <n v="45"/>
  </r>
  <r>
    <n v="3304"/>
    <x v="73"/>
    <x v="2"/>
    <d v="2024-05-09T00:00:00"/>
    <x v="1"/>
    <n v="10"/>
    <x v="2"/>
    <s v="No"/>
    <x v="1"/>
    <s v="Yes"/>
    <n v="20"/>
    <n v="12"/>
    <n v="18"/>
  </r>
  <r>
    <n v="3305"/>
    <x v="74"/>
    <x v="1"/>
    <d v="2024-05-10T00:00:00"/>
    <x v="0"/>
    <n v="5"/>
    <x v="0"/>
    <s v="No"/>
    <x v="1"/>
    <s v="No"/>
    <n v="0"/>
    <n v="2"/>
    <n v="3"/>
  </r>
  <r>
    <n v="3306"/>
    <x v="75"/>
    <x v="0"/>
    <d v="2024-05-11T00:00:00"/>
    <x v="1"/>
    <n v="15"/>
    <x v="1"/>
    <s v="Yes"/>
    <x v="0"/>
    <s v="Yes"/>
    <n v="20"/>
    <n v="5"/>
    <n v="60"/>
  </r>
  <r>
    <n v="3307"/>
    <x v="76"/>
    <x v="2"/>
    <d v="2024-05-12T00:00:00"/>
    <x v="0"/>
    <n v="10"/>
    <x v="0"/>
    <s v="No"/>
    <x v="1"/>
    <s v="Yes"/>
    <n v="20"/>
    <n v="10"/>
    <n v="20"/>
  </r>
  <r>
    <n v="3308"/>
    <x v="77"/>
    <x v="1"/>
    <d v="2024-05-13T00:00:00"/>
    <x v="1"/>
    <n v="5"/>
    <x v="2"/>
    <s v="No"/>
    <x v="1"/>
    <s v="No"/>
    <n v="0"/>
    <n v="0"/>
    <n v="5"/>
  </r>
  <r>
    <n v="3309"/>
    <x v="78"/>
    <x v="0"/>
    <d v="2024-05-14T00:00:00"/>
    <x v="0"/>
    <n v="15"/>
    <x v="0"/>
    <s v="Yes"/>
    <x v="0"/>
    <s v="Yes"/>
    <n v="20"/>
    <n v="3"/>
    <n v="62"/>
  </r>
  <r>
    <n v="3310"/>
    <x v="79"/>
    <x v="2"/>
    <d v="2024-05-15T00:00:00"/>
    <x v="1"/>
    <n v="10"/>
    <x v="1"/>
    <s v="No"/>
    <x v="1"/>
    <s v="Yes"/>
    <n v="20"/>
    <n v="15"/>
    <n v="15"/>
  </r>
  <r>
    <n v="3311"/>
    <x v="80"/>
    <x v="1"/>
    <d v="2024-05-16T00:00:00"/>
    <x v="0"/>
    <n v="5"/>
    <x v="0"/>
    <s v="No"/>
    <x v="1"/>
    <s v="No"/>
    <n v="0"/>
    <n v="1"/>
    <n v="4"/>
  </r>
  <r>
    <n v="3312"/>
    <x v="81"/>
    <x v="0"/>
    <d v="2024-05-17T00:00:00"/>
    <x v="1"/>
    <n v="15"/>
    <x v="2"/>
    <s v="Yes"/>
    <x v="0"/>
    <s v="Yes"/>
    <n v="20"/>
    <n v="7"/>
    <n v="58"/>
  </r>
  <r>
    <n v="3313"/>
    <x v="82"/>
    <x v="2"/>
    <d v="2024-05-18T00:00:00"/>
    <x v="0"/>
    <n v="10"/>
    <x v="0"/>
    <s v="No"/>
    <x v="1"/>
    <s v="Yes"/>
    <n v="20"/>
    <n v="10"/>
    <n v="20"/>
  </r>
  <r>
    <n v="3314"/>
    <x v="83"/>
    <x v="1"/>
    <d v="2024-05-19T00:00:00"/>
    <x v="1"/>
    <n v="5"/>
    <x v="1"/>
    <s v="No"/>
    <x v="1"/>
    <s v="No"/>
    <n v="0"/>
    <n v="0"/>
    <n v="5"/>
  </r>
  <r>
    <n v="3315"/>
    <x v="84"/>
    <x v="0"/>
    <d v="2024-05-20T00:00:00"/>
    <x v="0"/>
    <n v="15"/>
    <x v="0"/>
    <s v="Yes"/>
    <x v="0"/>
    <s v="Yes"/>
    <n v="20"/>
    <n v="20"/>
    <n v="45"/>
  </r>
  <r>
    <n v="3316"/>
    <x v="85"/>
    <x v="2"/>
    <d v="2024-05-21T00:00:00"/>
    <x v="1"/>
    <n v="10"/>
    <x v="2"/>
    <s v="No"/>
    <x v="1"/>
    <s v="Yes"/>
    <n v="20"/>
    <n v="15"/>
    <n v="15"/>
  </r>
  <r>
    <n v="3317"/>
    <x v="86"/>
    <x v="1"/>
    <d v="2024-05-22T00:00:00"/>
    <x v="0"/>
    <n v="5"/>
    <x v="0"/>
    <s v="No"/>
    <x v="1"/>
    <s v="No"/>
    <n v="0"/>
    <n v="1"/>
    <n v="4"/>
  </r>
  <r>
    <n v="3318"/>
    <x v="87"/>
    <x v="0"/>
    <d v="2024-05-23T00:00:00"/>
    <x v="1"/>
    <n v="15"/>
    <x v="1"/>
    <s v="Yes"/>
    <x v="0"/>
    <s v="Yes"/>
    <n v="20"/>
    <n v="3"/>
    <n v="62"/>
  </r>
  <r>
    <n v="3319"/>
    <x v="88"/>
    <x v="2"/>
    <d v="2024-05-24T00:00:00"/>
    <x v="0"/>
    <n v="10"/>
    <x v="0"/>
    <s v="No"/>
    <x v="1"/>
    <s v="Yes"/>
    <n v="20"/>
    <n v="10"/>
    <n v="20"/>
  </r>
  <r>
    <n v="3320"/>
    <x v="89"/>
    <x v="1"/>
    <d v="2024-05-25T00:00:00"/>
    <x v="1"/>
    <n v="5"/>
    <x v="2"/>
    <s v="No"/>
    <x v="1"/>
    <s v="No"/>
    <n v="0"/>
    <n v="0"/>
    <n v="5"/>
  </r>
  <r>
    <n v="3321"/>
    <x v="90"/>
    <x v="0"/>
    <d v="2024-05-26T00:00:00"/>
    <x v="0"/>
    <n v="15"/>
    <x v="0"/>
    <s v="Yes"/>
    <x v="0"/>
    <s v="Yes"/>
    <n v="20"/>
    <n v="5"/>
    <n v="60"/>
  </r>
  <r>
    <n v="3322"/>
    <x v="91"/>
    <x v="2"/>
    <d v="2024-05-27T00:00:00"/>
    <x v="1"/>
    <n v="10"/>
    <x v="1"/>
    <s v="No"/>
    <x v="1"/>
    <s v="Yes"/>
    <n v="20"/>
    <n v="15"/>
    <n v="15"/>
  </r>
  <r>
    <n v="3323"/>
    <x v="92"/>
    <x v="1"/>
    <d v="2024-05-28T00:00:00"/>
    <x v="0"/>
    <n v="5"/>
    <x v="0"/>
    <s v="No"/>
    <x v="1"/>
    <s v="No"/>
    <n v="0"/>
    <n v="1"/>
    <n v="4"/>
  </r>
  <r>
    <n v="3324"/>
    <x v="93"/>
    <x v="0"/>
    <d v="2024-05-29T00:00:00"/>
    <x v="1"/>
    <n v="15"/>
    <x v="2"/>
    <s v="Yes"/>
    <x v="0"/>
    <s v="Yes"/>
    <n v="20"/>
    <n v="20"/>
    <n v="45"/>
  </r>
  <r>
    <n v="3325"/>
    <x v="94"/>
    <x v="2"/>
    <d v="2024-05-30T00:00:00"/>
    <x v="0"/>
    <n v="10"/>
    <x v="2"/>
    <s v="No"/>
    <x v="1"/>
    <s v="Yes"/>
    <n v="20"/>
    <n v="15"/>
    <n v="15"/>
  </r>
  <r>
    <n v="3326"/>
    <x v="95"/>
    <x v="1"/>
    <d v="2024-05-31T00:00:00"/>
    <x v="1"/>
    <n v="5"/>
    <x v="1"/>
    <s v="No"/>
    <x v="1"/>
    <s v="No"/>
    <n v="0"/>
    <n v="0"/>
    <n v="5"/>
  </r>
  <r>
    <n v="3327"/>
    <x v="96"/>
    <x v="0"/>
    <d v="2024-06-01T00:00:00"/>
    <x v="0"/>
    <n v="15"/>
    <x v="0"/>
    <s v="Yes"/>
    <x v="0"/>
    <s v="Yes"/>
    <n v="20"/>
    <n v="7"/>
    <n v="58"/>
  </r>
  <r>
    <n v="3328"/>
    <x v="97"/>
    <x v="2"/>
    <d v="2024-06-02T00:00:00"/>
    <x v="1"/>
    <n v="10"/>
    <x v="1"/>
    <s v="No"/>
    <x v="1"/>
    <s v="Yes"/>
    <n v="20"/>
    <n v="10"/>
    <n v="20"/>
  </r>
  <r>
    <n v="3329"/>
    <x v="98"/>
    <x v="1"/>
    <d v="2024-06-03T00:00:00"/>
    <x v="0"/>
    <n v="5"/>
    <x v="2"/>
    <s v="No"/>
    <x v="1"/>
    <s v="No"/>
    <n v="0"/>
    <n v="1"/>
    <n v="4"/>
  </r>
  <r>
    <n v="3330"/>
    <x v="99"/>
    <x v="0"/>
    <d v="2024-06-04T00:00:00"/>
    <x v="1"/>
    <n v="15"/>
    <x v="0"/>
    <s v="Yes"/>
    <x v="0"/>
    <s v="Yes"/>
    <n v="20"/>
    <n v="15"/>
    <n v="50"/>
  </r>
  <r>
    <n v="3331"/>
    <x v="100"/>
    <x v="2"/>
    <d v="2024-06-05T00:00:00"/>
    <x v="0"/>
    <n v="10"/>
    <x v="0"/>
    <s v="No"/>
    <x v="1"/>
    <s v="Yes"/>
    <n v="20"/>
    <n v="5"/>
    <n v="25"/>
  </r>
  <r>
    <n v="3332"/>
    <x v="101"/>
    <x v="1"/>
    <d v="2024-06-06T00:00:00"/>
    <x v="1"/>
    <n v="5"/>
    <x v="1"/>
    <s v="No"/>
    <x v="1"/>
    <s v="No"/>
    <n v="0"/>
    <n v="0"/>
    <n v="5"/>
  </r>
  <r>
    <n v="3333"/>
    <x v="102"/>
    <x v="0"/>
    <d v="2024-06-07T00:00:00"/>
    <x v="0"/>
    <n v="15"/>
    <x v="2"/>
    <s v="Yes"/>
    <x v="0"/>
    <s v="Yes"/>
    <n v="20"/>
    <n v="20"/>
    <n v="45"/>
  </r>
  <r>
    <n v="3334"/>
    <x v="103"/>
    <x v="2"/>
    <d v="2024-06-08T00:00:00"/>
    <x v="1"/>
    <n v="10"/>
    <x v="2"/>
    <s v="No"/>
    <x v="1"/>
    <s v="Yes"/>
    <n v="20"/>
    <n v="12"/>
    <n v="18"/>
  </r>
  <r>
    <n v="3335"/>
    <x v="104"/>
    <x v="1"/>
    <d v="2024-06-09T00:00:00"/>
    <x v="0"/>
    <n v="5"/>
    <x v="0"/>
    <s v="No"/>
    <x v="1"/>
    <s v="No"/>
    <n v="0"/>
    <n v="2"/>
    <n v="3"/>
  </r>
  <r>
    <n v="3336"/>
    <x v="105"/>
    <x v="1"/>
    <d v="2024-06-10T00:00:00"/>
    <x v="0"/>
    <n v="5"/>
    <x v="0"/>
    <s v="No"/>
    <x v="1"/>
    <s v="No"/>
    <n v="0"/>
    <n v="0"/>
    <n v="5"/>
  </r>
  <r>
    <n v="3337"/>
    <x v="106"/>
    <x v="0"/>
    <d v="2024-06-11T00:00:00"/>
    <x v="1"/>
    <n v="15"/>
    <x v="2"/>
    <s v="Yes"/>
    <x v="0"/>
    <s v="Yes"/>
    <n v="20"/>
    <n v="7"/>
    <n v="58"/>
  </r>
  <r>
    <n v="3338"/>
    <x v="107"/>
    <x v="2"/>
    <d v="2024-06-12T00:00:00"/>
    <x v="0"/>
    <n v="10"/>
    <x v="1"/>
    <s v="No"/>
    <x v="1"/>
    <s v="Yes"/>
    <n v="20"/>
    <n v="10"/>
    <n v="20"/>
  </r>
  <r>
    <n v="3339"/>
    <x v="108"/>
    <x v="1"/>
    <d v="2024-06-13T00:00:00"/>
    <x v="1"/>
    <n v="5"/>
    <x v="2"/>
    <s v="No"/>
    <x v="1"/>
    <s v="No"/>
    <n v="0"/>
    <n v="1"/>
    <n v="4"/>
  </r>
  <r>
    <n v="3340"/>
    <x v="109"/>
    <x v="0"/>
    <d v="2024-06-14T00:00:00"/>
    <x v="0"/>
    <n v="15"/>
    <x v="0"/>
    <s v="Yes"/>
    <x v="0"/>
    <s v="Yes"/>
    <n v="20"/>
    <n v="15"/>
    <n v="50"/>
  </r>
  <r>
    <n v="3341"/>
    <x v="110"/>
    <x v="2"/>
    <d v="2024-06-15T00:00:00"/>
    <x v="1"/>
    <n v="10"/>
    <x v="0"/>
    <s v="No"/>
    <x v="1"/>
    <s v="Yes"/>
    <n v="20"/>
    <n v="5"/>
    <n v="25"/>
  </r>
  <r>
    <n v="3342"/>
    <x v="111"/>
    <x v="1"/>
    <d v="2024-06-16T00:00:00"/>
    <x v="0"/>
    <n v="5"/>
    <x v="1"/>
    <s v="No"/>
    <x v="1"/>
    <s v="No"/>
    <n v="0"/>
    <n v="0"/>
    <n v="5"/>
  </r>
  <r>
    <n v="3343"/>
    <x v="112"/>
    <x v="0"/>
    <d v="2024-06-17T00:00:00"/>
    <x v="1"/>
    <n v="15"/>
    <x v="2"/>
    <s v="Yes"/>
    <x v="0"/>
    <s v="Yes"/>
    <n v="20"/>
    <n v="20"/>
    <n v="45"/>
  </r>
  <r>
    <n v="3344"/>
    <x v="113"/>
    <x v="2"/>
    <d v="2024-06-18T00:00:00"/>
    <x v="0"/>
    <n v="10"/>
    <x v="2"/>
    <s v="No"/>
    <x v="1"/>
    <s v="Yes"/>
    <n v="20"/>
    <n v="12"/>
    <n v="18"/>
  </r>
  <r>
    <n v="3345"/>
    <x v="114"/>
    <x v="1"/>
    <d v="2024-06-19T00:00:00"/>
    <x v="1"/>
    <n v="5"/>
    <x v="0"/>
    <s v="No"/>
    <x v="1"/>
    <s v="No"/>
    <n v="0"/>
    <n v="2"/>
    <n v="3"/>
  </r>
  <r>
    <n v="3346"/>
    <x v="115"/>
    <x v="0"/>
    <d v="2024-06-20T00:00:00"/>
    <x v="0"/>
    <n v="15"/>
    <x v="1"/>
    <s v="Yes"/>
    <x v="0"/>
    <s v="Yes"/>
    <n v="20"/>
    <n v="5"/>
    <n v="60"/>
  </r>
  <r>
    <n v="3347"/>
    <x v="116"/>
    <x v="2"/>
    <d v="2024-06-21T00:00:00"/>
    <x v="1"/>
    <n v="10"/>
    <x v="0"/>
    <s v="No"/>
    <x v="1"/>
    <s v="Yes"/>
    <n v="20"/>
    <n v="10"/>
    <n v="20"/>
  </r>
  <r>
    <n v="3348"/>
    <x v="117"/>
    <x v="1"/>
    <d v="2024-06-22T00:00:00"/>
    <x v="0"/>
    <n v="5"/>
    <x v="2"/>
    <s v="No"/>
    <x v="1"/>
    <s v="No"/>
    <n v="0"/>
    <n v="0"/>
    <n v="5"/>
  </r>
  <r>
    <n v="3349"/>
    <x v="93"/>
    <x v="0"/>
    <d v="2024-06-23T00:00:00"/>
    <x v="1"/>
    <n v="15"/>
    <x v="0"/>
    <s v="Yes"/>
    <x v="0"/>
    <s v="Yes"/>
    <n v="20"/>
    <n v="3"/>
    <n v="62"/>
  </r>
  <r>
    <n v="3350"/>
    <x v="118"/>
    <x v="2"/>
    <d v="2024-06-24T00:00:00"/>
    <x v="0"/>
    <n v="10"/>
    <x v="1"/>
    <s v="No"/>
    <x v="1"/>
    <s v="Yes"/>
    <n v="20"/>
    <n v="15"/>
    <n v="15"/>
  </r>
  <r>
    <n v="3351"/>
    <x v="119"/>
    <x v="1"/>
    <d v="2024-06-25T00:00:00"/>
    <x v="1"/>
    <n v="5"/>
    <x v="0"/>
    <s v="No"/>
    <x v="1"/>
    <s v="No"/>
    <n v="0"/>
    <n v="1"/>
    <n v="4"/>
  </r>
  <r>
    <n v="3352"/>
    <x v="120"/>
    <x v="0"/>
    <d v="2024-06-26T00:00:00"/>
    <x v="0"/>
    <n v="15"/>
    <x v="2"/>
    <s v="Yes"/>
    <x v="0"/>
    <s v="Yes"/>
    <n v="20"/>
    <n v="7"/>
    <n v="58"/>
  </r>
  <r>
    <n v="3353"/>
    <x v="121"/>
    <x v="2"/>
    <d v="2024-06-27T00:00:00"/>
    <x v="1"/>
    <n v="10"/>
    <x v="0"/>
    <s v="No"/>
    <x v="1"/>
    <s v="Yes"/>
    <n v="20"/>
    <n v="10"/>
    <n v="20"/>
  </r>
  <r>
    <n v="3354"/>
    <x v="122"/>
    <x v="1"/>
    <d v="2024-06-28T00:00:00"/>
    <x v="0"/>
    <n v="5"/>
    <x v="1"/>
    <s v="No"/>
    <x v="1"/>
    <s v="No"/>
    <n v="0"/>
    <n v="0"/>
    <n v="5"/>
  </r>
  <r>
    <n v="3355"/>
    <x v="123"/>
    <x v="0"/>
    <d v="2024-06-29T00:00:00"/>
    <x v="1"/>
    <n v="15"/>
    <x v="0"/>
    <s v="Yes"/>
    <x v="0"/>
    <s v="Yes"/>
    <n v="20"/>
    <n v="20"/>
    <n v="45"/>
  </r>
  <r>
    <n v="3356"/>
    <x v="124"/>
    <x v="2"/>
    <d v="2024-06-30T00:00:00"/>
    <x v="0"/>
    <n v="10"/>
    <x v="2"/>
    <s v="No"/>
    <x v="1"/>
    <s v="Yes"/>
    <n v="20"/>
    <n v="15"/>
    <n v="15"/>
  </r>
  <r>
    <n v="3357"/>
    <x v="125"/>
    <x v="1"/>
    <d v="2024-07-01T00:00:00"/>
    <x v="1"/>
    <n v="5"/>
    <x v="0"/>
    <s v="No"/>
    <x v="1"/>
    <s v="No"/>
    <n v="0"/>
    <n v="1"/>
    <n v="4"/>
  </r>
  <r>
    <n v="3358"/>
    <x v="126"/>
    <x v="0"/>
    <d v="2024-07-02T00:00:00"/>
    <x v="0"/>
    <n v="15"/>
    <x v="1"/>
    <s v="Yes"/>
    <x v="0"/>
    <s v="Yes"/>
    <n v="20"/>
    <n v="3"/>
    <n v="62"/>
  </r>
  <r>
    <n v="3359"/>
    <x v="127"/>
    <x v="2"/>
    <d v="2024-07-03T00:00:00"/>
    <x v="1"/>
    <n v="10"/>
    <x v="0"/>
    <s v="No"/>
    <x v="1"/>
    <s v="Yes"/>
    <n v="20"/>
    <n v="10"/>
    <n v="20"/>
  </r>
  <r>
    <n v="3360"/>
    <x v="128"/>
    <x v="1"/>
    <d v="2024-07-04T00:00:00"/>
    <x v="0"/>
    <n v="5"/>
    <x v="2"/>
    <s v="No"/>
    <x v="1"/>
    <s v="No"/>
    <n v="0"/>
    <n v="0"/>
    <n v="5"/>
  </r>
  <r>
    <n v="3361"/>
    <x v="129"/>
    <x v="0"/>
    <d v="2024-07-05T00:00:00"/>
    <x v="1"/>
    <n v="15"/>
    <x v="0"/>
    <s v="Yes"/>
    <x v="0"/>
    <s v="Yes"/>
    <n v="20"/>
    <n v="15"/>
    <n v="50"/>
  </r>
  <r>
    <n v="3362"/>
    <x v="130"/>
    <x v="2"/>
    <d v="2024-07-06T00:00:00"/>
    <x v="0"/>
    <n v="10"/>
    <x v="1"/>
    <s v="No"/>
    <x v="1"/>
    <s v="Yes"/>
    <n v="20"/>
    <n v="15"/>
    <n v="15"/>
  </r>
  <r>
    <n v="3363"/>
    <x v="131"/>
    <x v="1"/>
    <d v="2024-07-07T00:00:00"/>
    <x v="1"/>
    <n v="5"/>
    <x v="0"/>
    <s v="No"/>
    <x v="1"/>
    <s v="No"/>
    <n v="0"/>
    <n v="1"/>
    <n v="4"/>
  </r>
  <r>
    <n v="3364"/>
    <x v="132"/>
    <x v="0"/>
    <d v="2024-07-08T00:00:00"/>
    <x v="0"/>
    <n v="15"/>
    <x v="2"/>
    <s v="Yes"/>
    <x v="0"/>
    <s v="Yes"/>
    <n v="20"/>
    <n v="7"/>
    <n v="58"/>
  </r>
  <r>
    <n v="3365"/>
    <x v="133"/>
    <x v="2"/>
    <d v="2024-07-09T00:00:00"/>
    <x v="1"/>
    <n v="10"/>
    <x v="0"/>
    <s v="No"/>
    <x v="1"/>
    <s v="Yes"/>
    <n v="20"/>
    <n v="10"/>
    <n v="20"/>
  </r>
  <r>
    <n v="3366"/>
    <x v="134"/>
    <x v="1"/>
    <d v="2024-07-10T00:00:00"/>
    <x v="0"/>
    <n v="5"/>
    <x v="0"/>
    <s v="No"/>
    <x v="1"/>
    <s v="No"/>
    <n v="0"/>
    <n v="0"/>
    <n v="5"/>
  </r>
  <r>
    <n v="3367"/>
    <x v="135"/>
    <x v="0"/>
    <d v="2024-07-11T00:00:00"/>
    <x v="1"/>
    <n v="15"/>
    <x v="2"/>
    <s v="Yes"/>
    <x v="0"/>
    <s v="Yes"/>
    <n v="20"/>
    <n v="7"/>
    <n v="58"/>
  </r>
  <r>
    <n v="3368"/>
    <x v="136"/>
    <x v="2"/>
    <d v="2024-07-12T00:00:00"/>
    <x v="0"/>
    <n v="10"/>
    <x v="1"/>
    <s v="No"/>
    <x v="1"/>
    <s v="Yes"/>
    <n v="20"/>
    <n v="10"/>
    <n v="20"/>
  </r>
  <r>
    <n v="3369"/>
    <x v="137"/>
    <x v="1"/>
    <d v="2024-07-13T00:00:00"/>
    <x v="1"/>
    <n v="5"/>
    <x v="2"/>
    <s v="No"/>
    <x v="1"/>
    <s v="No"/>
    <n v="0"/>
    <n v="1"/>
    <n v="4"/>
  </r>
  <r>
    <n v="3370"/>
    <x v="138"/>
    <x v="0"/>
    <d v="2024-07-14T00:00:00"/>
    <x v="0"/>
    <n v="15"/>
    <x v="0"/>
    <s v="Yes"/>
    <x v="0"/>
    <s v="Yes"/>
    <n v="20"/>
    <n v="15"/>
    <n v="50"/>
  </r>
  <r>
    <n v="3371"/>
    <x v="139"/>
    <x v="2"/>
    <d v="2024-07-15T00:00:00"/>
    <x v="1"/>
    <n v="10"/>
    <x v="0"/>
    <s v="No"/>
    <x v="1"/>
    <s v="Yes"/>
    <n v="20"/>
    <n v="5"/>
    <n v="25"/>
  </r>
  <r>
    <n v="3372"/>
    <x v="140"/>
    <x v="1"/>
    <d v="2024-07-16T00:00:00"/>
    <x v="0"/>
    <n v="5"/>
    <x v="1"/>
    <s v="No"/>
    <x v="1"/>
    <s v="No"/>
    <n v="0"/>
    <n v="0"/>
    <n v="5"/>
  </r>
  <r>
    <n v="3373"/>
    <x v="141"/>
    <x v="0"/>
    <d v="2024-07-17T00:00:00"/>
    <x v="1"/>
    <n v="15"/>
    <x v="2"/>
    <s v="Yes"/>
    <x v="0"/>
    <s v="Yes"/>
    <n v="20"/>
    <n v="20"/>
    <n v="45"/>
  </r>
  <r>
    <n v="3374"/>
    <x v="142"/>
    <x v="2"/>
    <d v="2024-07-18T00:00:00"/>
    <x v="0"/>
    <n v="10"/>
    <x v="2"/>
    <s v="No"/>
    <x v="1"/>
    <s v="Yes"/>
    <n v="20"/>
    <n v="12"/>
    <n v="18"/>
  </r>
  <r>
    <n v="3375"/>
    <x v="143"/>
    <x v="1"/>
    <d v="2024-07-19T00:00:00"/>
    <x v="1"/>
    <n v="5"/>
    <x v="0"/>
    <s v="No"/>
    <x v="1"/>
    <s v="No"/>
    <n v="0"/>
    <n v="2"/>
    <n v="3"/>
  </r>
  <r>
    <n v="3376"/>
    <x v="144"/>
    <x v="0"/>
    <d v="2024-07-20T00:00:00"/>
    <x v="0"/>
    <n v="15"/>
    <x v="1"/>
    <s v="Yes"/>
    <x v="0"/>
    <s v="Yes"/>
    <n v="20"/>
    <n v="5"/>
    <n v="60"/>
  </r>
  <r>
    <n v="3377"/>
    <x v="145"/>
    <x v="2"/>
    <d v="2024-07-21T00:00:00"/>
    <x v="1"/>
    <n v="10"/>
    <x v="0"/>
    <s v="No"/>
    <x v="1"/>
    <s v="Yes"/>
    <n v="20"/>
    <n v="10"/>
    <n v="20"/>
  </r>
  <r>
    <n v="3378"/>
    <x v="146"/>
    <x v="1"/>
    <d v="2024-07-22T00:00:00"/>
    <x v="0"/>
    <n v="5"/>
    <x v="2"/>
    <s v="No"/>
    <x v="1"/>
    <s v="No"/>
    <n v="0"/>
    <n v="0"/>
    <n v="5"/>
  </r>
  <r>
    <n v="3379"/>
    <x v="147"/>
    <x v="0"/>
    <d v="2024-07-23T00:00:00"/>
    <x v="1"/>
    <n v="15"/>
    <x v="0"/>
    <s v="Yes"/>
    <x v="0"/>
    <s v="Yes"/>
    <n v="20"/>
    <n v="3"/>
    <n v="62"/>
  </r>
  <r>
    <n v="3380"/>
    <x v="148"/>
    <x v="2"/>
    <d v="2024-07-24T00:00:00"/>
    <x v="0"/>
    <n v="10"/>
    <x v="1"/>
    <s v="No"/>
    <x v="1"/>
    <s v="Yes"/>
    <n v="20"/>
    <n v="15"/>
    <n v="15"/>
  </r>
  <r>
    <n v="3381"/>
    <x v="149"/>
    <x v="1"/>
    <d v="2024-07-25T00:00:00"/>
    <x v="1"/>
    <n v="5"/>
    <x v="0"/>
    <s v="No"/>
    <x v="1"/>
    <s v="No"/>
    <n v="0"/>
    <n v="1"/>
    <n v="4"/>
  </r>
  <r>
    <n v="3382"/>
    <x v="150"/>
    <x v="0"/>
    <d v="2024-07-26T00:00:00"/>
    <x v="0"/>
    <n v="15"/>
    <x v="2"/>
    <s v="Yes"/>
    <x v="0"/>
    <s v="Yes"/>
    <n v="20"/>
    <n v="7"/>
    <n v="58"/>
  </r>
  <r>
    <n v="3383"/>
    <x v="151"/>
    <x v="2"/>
    <d v="2024-07-27T00:00:00"/>
    <x v="1"/>
    <n v="10"/>
    <x v="0"/>
    <s v="No"/>
    <x v="1"/>
    <s v="Yes"/>
    <n v="20"/>
    <n v="10"/>
    <n v="20"/>
  </r>
  <r>
    <n v="3384"/>
    <x v="152"/>
    <x v="1"/>
    <d v="2024-07-28T00:00:00"/>
    <x v="0"/>
    <n v="5"/>
    <x v="1"/>
    <s v="No"/>
    <x v="1"/>
    <s v="No"/>
    <n v="0"/>
    <n v="0"/>
    <n v="5"/>
  </r>
  <r>
    <n v="3385"/>
    <x v="153"/>
    <x v="0"/>
    <d v="2024-07-29T00:00:00"/>
    <x v="1"/>
    <n v="15"/>
    <x v="0"/>
    <s v="Yes"/>
    <x v="0"/>
    <s v="Yes"/>
    <n v="20"/>
    <n v="20"/>
    <n v="45"/>
  </r>
  <r>
    <n v="3386"/>
    <x v="154"/>
    <x v="2"/>
    <d v="2024-07-30T00:00:00"/>
    <x v="0"/>
    <n v="10"/>
    <x v="2"/>
    <s v="No"/>
    <x v="1"/>
    <s v="Yes"/>
    <n v="20"/>
    <n v="15"/>
    <n v="15"/>
  </r>
  <r>
    <n v="3387"/>
    <x v="155"/>
    <x v="1"/>
    <d v="2024-07-31T00:00:00"/>
    <x v="1"/>
    <n v="5"/>
    <x v="0"/>
    <s v="No"/>
    <x v="1"/>
    <s v="No"/>
    <n v="0"/>
    <n v="1"/>
    <n v="4"/>
  </r>
  <r>
    <n v="3388"/>
    <x v="156"/>
    <x v="0"/>
    <d v="2024-08-01T00:00:00"/>
    <x v="0"/>
    <n v="15"/>
    <x v="1"/>
    <s v="Yes"/>
    <x v="0"/>
    <s v="Yes"/>
    <n v="20"/>
    <n v="3"/>
    <n v="62"/>
  </r>
  <r>
    <n v="3389"/>
    <x v="157"/>
    <x v="2"/>
    <d v="2024-08-02T00:00:00"/>
    <x v="1"/>
    <n v="10"/>
    <x v="0"/>
    <s v="No"/>
    <x v="1"/>
    <s v="Yes"/>
    <n v="20"/>
    <n v="10"/>
    <n v="20"/>
  </r>
  <r>
    <n v="3390"/>
    <x v="158"/>
    <x v="1"/>
    <d v="2024-08-03T00:00:00"/>
    <x v="0"/>
    <n v="5"/>
    <x v="2"/>
    <s v="No"/>
    <x v="1"/>
    <s v="No"/>
    <n v="0"/>
    <n v="0"/>
    <n v="5"/>
  </r>
  <r>
    <n v="3391"/>
    <x v="58"/>
    <x v="0"/>
    <d v="2024-08-04T00:00:00"/>
    <x v="1"/>
    <n v="15"/>
    <x v="0"/>
    <s v="Yes"/>
    <x v="0"/>
    <s v="Yes"/>
    <n v="20"/>
    <n v="15"/>
    <n v="50"/>
  </r>
  <r>
    <n v="3392"/>
    <x v="159"/>
    <x v="2"/>
    <d v="2024-08-05T00:00:00"/>
    <x v="0"/>
    <n v="10"/>
    <x v="1"/>
    <s v="No"/>
    <x v="1"/>
    <s v="Yes"/>
    <n v="20"/>
    <n v="15"/>
    <n v="15"/>
  </r>
  <r>
    <n v="3393"/>
    <x v="160"/>
    <x v="1"/>
    <d v="2024-08-06T00:00:00"/>
    <x v="1"/>
    <n v="5"/>
    <x v="0"/>
    <s v="No"/>
    <x v="1"/>
    <s v="No"/>
    <n v="0"/>
    <n v="1"/>
    <n v="4"/>
  </r>
  <r>
    <n v="3394"/>
    <x v="161"/>
    <x v="0"/>
    <d v="2024-08-07T00:00:00"/>
    <x v="0"/>
    <n v="15"/>
    <x v="2"/>
    <s v="Yes"/>
    <x v="0"/>
    <s v="Yes"/>
    <n v="20"/>
    <n v="7"/>
    <n v="58"/>
  </r>
  <r>
    <n v="3395"/>
    <x v="162"/>
    <x v="2"/>
    <d v="2024-08-08T00:00:00"/>
    <x v="1"/>
    <n v="10"/>
    <x v="0"/>
    <s v="No"/>
    <x v="1"/>
    <s v="Yes"/>
    <n v="20"/>
    <n v="10"/>
    <n v="20"/>
  </r>
  <r>
    <n v="3396"/>
    <x v="163"/>
    <x v="1"/>
    <d v="2024-08-09T00:00:00"/>
    <x v="0"/>
    <n v="5"/>
    <x v="1"/>
    <s v="No"/>
    <x v="1"/>
    <s v="No"/>
    <n v="0"/>
    <n v="0"/>
    <n v="5"/>
  </r>
  <r>
    <n v="3397"/>
    <x v="90"/>
    <x v="0"/>
    <d v="2024-08-10T00:00:00"/>
    <x v="1"/>
    <n v="15"/>
    <x v="0"/>
    <s v="Yes"/>
    <x v="0"/>
    <s v="Yes"/>
    <n v="20"/>
    <n v="20"/>
    <n v="45"/>
  </r>
  <r>
    <n v="3398"/>
    <x v="164"/>
    <x v="2"/>
    <d v="2024-08-11T00:00:00"/>
    <x v="0"/>
    <n v="10"/>
    <x v="2"/>
    <s v="No"/>
    <x v="1"/>
    <s v="Yes"/>
    <n v="20"/>
    <n v="15"/>
    <n v="15"/>
  </r>
  <r>
    <n v="3399"/>
    <x v="165"/>
    <x v="1"/>
    <d v="2024-08-12T00:00:00"/>
    <x v="1"/>
    <n v="5"/>
    <x v="0"/>
    <s v="No"/>
    <x v="1"/>
    <s v="No"/>
    <n v="0"/>
    <n v="1"/>
    <n v="4"/>
  </r>
  <r>
    <n v="3400"/>
    <x v="166"/>
    <x v="0"/>
    <d v="2024-08-13T00:00:00"/>
    <x v="0"/>
    <n v="15"/>
    <x v="1"/>
    <s v="Yes"/>
    <x v="0"/>
    <s v="Yes"/>
    <n v="20"/>
    <n v="5"/>
    <n v="60"/>
  </r>
  <r>
    <n v="3401"/>
    <x v="167"/>
    <x v="2"/>
    <d v="2024-08-14T00:00:00"/>
    <x v="1"/>
    <n v="10"/>
    <x v="0"/>
    <s v="No"/>
    <x v="1"/>
    <s v="Yes"/>
    <n v="20"/>
    <n v="10"/>
    <n v="20"/>
  </r>
  <r>
    <n v="3402"/>
    <x v="168"/>
    <x v="1"/>
    <d v="2024-08-15T00:00:00"/>
    <x v="0"/>
    <n v="5"/>
    <x v="2"/>
    <s v="No"/>
    <x v="1"/>
    <s v="No"/>
    <n v="0"/>
    <n v="0"/>
    <n v="5"/>
  </r>
  <r>
    <n v="3403"/>
    <x v="169"/>
    <x v="0"/>
    <d v="2024-08-16T00:00:00"/>
    <x v="1"/>
    <n v="15"/>
    <x v="0"/>
    <s v="Yes"/>
    <x v="0"/>
    <s v="Yes"/>
    <n v="20"/>
    <n v="3"/>
    <n v="62"/>
  </r>
  <r>
    <n v="3404"/>
    <x v="170"/>
    <x v="2"/>
    <d v="2024-08-17T00:00:00"/>
    <x v="0"/>
    <n v="10"/>
    <x v="1"/>
    <s v="No"/>
    <x v="1"/>
    <s v="Yes"/>
    <n v="20"/>
    <n v="15"/>
    <n v="15"/>
  </r>
  <r>
    <n v="3405"/>
    <x v="171"/>
    <x v="1"/>
    <d v="2024-08-18T00:00:00"/>
    <x v="1"/>
    <n v="5"/>
    <x v="0"/>
    <s v="No"/>
    <x v="1"/>
    <s v="No"/>
    <n v="0"/>
    <n v="1"/>
    <n v="4"/>
  </r>
  <r>
    <n v="3406"/>
    <x v="172"/>
    <x v="1"/>
    <d v="2024-08-19T00:00:00"/>
    <x v="0"/>
    <n v="5"/>
    <x v="0"/>
    <s v="No"/>
    <x v="1"/>
    <s v="No"/>
    <n v="0"/>
    <n v="0"/>
    <n v="5"/>
  </r>
  <r>
    <n v="3407"/>
    <x v="173"/>
    <x v="0"/>
    <d v="2024-08-20T00:00:00"/>
    <x v="1"/>
    <n v="15"/>
    <x v="2"/>
    <s v="Yes"/>
    <x v="0"/>
    <s v="Yes"/>
    <n v="20"/>
    <n v="7"/>
    <n v="58"/>
  </r>
  <r>
    <n v="3408"/>
    <x v="174"/>
    <x v="2"/>
    <d v="2024-08-21T00:00:00"/>
    <x v="0"/>
    <n v="10"/>
    <x v="1"/>
    <s v="No"/>
    <x v="1"/>
    <s v="Yes"/>
    <n v="20"/>
    <n v="10"/>
    <n v="20"/>
  </r>
  <r>
    <n v="3409"/>
    <x v="175"/>
    <x v="1"/>
    <d v="2024-08-22T00:00:00"/>
    <x v="1"/>
    <n v="5"/>
    <x v="2"/>
    <s v="No"/>
    <x v="1"/>
    <s v="No"/>
    <n v="0"/>
    <n v="1"/>
    <n v="4"/>
  </r>
  <r>
    <n v="3410"/>
    <x v="176"/>
    <x v="0"/>
    <d v="2024-08-23T00:00:00"/>
    <x v="0"/>
    <n v="15"/>
    <x v="0"/>
    <s v="Yes"/>
    <x v="0"/>
    <s v="Yes"/>
    <n v="20"/>
    <n v="15"/>
    <n v="50"/>
  </r>
  <r>
    <n v="3411"/>
    <x v="177"/>
    <x v="2"/>
    <d v="2024-08-24T00:00:00"/>
    <x v="1"/>
    <n v="10"/>
    <x v="0"/>
    <s v="No"/>
    <x v="1"/>
    <s v="Yes"/>
    <n v="20"/>
    <n v="5"/>
    <n v="25"/>
  </r>
  <r>
    <n v="3412"/>
    <x v="178"/>
    <x v="1"/>
    <d v="2024-08-25T00:00:00"/>
    <x v="0"/>
    <n v="5"/>
    <x v="1"/>
    <s v="No"/>
    <x v="1"/>
    <s v="No"/>
    <n v="0"/>
    <n v="0"/>
    <n v="5"/>
  </r>
  <r>
    <n v="3413"/>
    <x v="179"/>
    <x v="0"/>
    <d v="2024-08-26T00:00:00"/>
    <x v="1"/>
    <n v="15"/>
    <x v="2"/>
    <s v="Yes"/>
    <x v="0"/>
    <s v="Yes"/>
    <n v="20"/>
    <n v="20"/>
    <n v="45"/>
  </r>
  <r>
    <n v="3414"/>
    <x v="180"/>
    <x v="2"/>
    <d v="2024-08-27T00:00:00"/>
    <x v="0"/>
    <n v="10"/>
    <x v="2"/>
    <s v="No"/>
    <x v="1"/>
    <s v="Yes"/>
    <n v="20"/>
    <n v="12"/>
    <n v="18"/>
  </r>
  <r>
    <n v="3415"/>
    <x v="181"/>
    <x v="1"/>
    <d v="2024-08-28T00:00:00"/>
    <x v="1"/>
    <n v="5"/>
    <x v="0"/>
    <s v="No"/>
    <x v="1"/>
    <s v="No"/>
    <n v="0"/>
    <n v="2"/>
    <n v="3"/>
  </r>
  <r>
    <n v="3416"/>
    <x v="182"/>
    <x v="0"/>
    <d v="2024-08-29T00:00:00"/>
    <x v="0"/>
    <n v="15"/>
    <x v="1"/>
    <s v="Yes"/>
    <x v="0"/>
    <s v="Yes"/>
    <n v="20"/>
    <n v="5"/>
    <n v="60"/>
  </r>
  <r>
    <n v="3417"/>
    <x v="183"/>
    <x v="2"/>
    <d v="2024-08-30T00:00:00"/>
    <x v="1"/>
    <n v="10"/>
    <x v="0"/>
    <s v="No"/>
    <x v="1"/>
    <s v="Yes"/>
    <n v="20"/>
    <n v="10"/>
    <n v="20"/>
  </r>
  <r>
    <n v="3418"/>
    <x v="184"/>
    <x v="1"/>
    <d v="2024-08-31T00:00:00"/>
    <x v="0"/>
    <n v="5"/>
    <x v="2"/>
    <s v="No"/>
    <x v="1"/>
    <s v="No"/>
    <n v="0"/>
    <n v="0"/>
    <n v="5"/>
  </r>
  <r>
    <n v="3419"/>
    <x v="185"/>
    <x v="0"/>
    <d v="2024-09-01T00:00:00"/>
    <x v="1"/>
    <n v="15"/>
    <x v="0"/>
    <s v="Yes"/>
    <x v="0"/>
    <s v="Yes"/>
    <n v="20"/>
    <n v="3"/>
    <n v="62"/>
  </r>
  <r>
    <n v="3420"/>
    <x v="186"/>
    <x v="2"/>
    <d v="2024-09-02T00:00:00"/>
    <x v="0"/>
    <n v="10"/>
    <x v="1"/>
    <s v="No"/>
    <x v="1"/>
    <s v="Yes"/>
    <n v="20"/>
    <n v="15"/>
    <n v="15"/>
  </r>
  <r>
    <n v="3421"/>
    <x v="15"/>
    <x v="1"/>
    <d v="2024-09-03T00:00:00"/>
    <x v="1"/>
    <n v="5"/>
    <x v="0"/>
    <s v="No"/>
    <x v="1"/>
    <s v="No"/>
    <n v="0"/>
    <n v="1"/>
    <n v="4"/>
  </r>
  <r>
    <n v="3422"/>
    <x v="187"/>
    <x v="0"/>
    <d v="2024-09-04T00:00:00"/>
    <x v="0"/>
    <n v="15"/>
    <x v="2"/>
    <s v="Yes"/>
    <x v="0"/>
    <s v="Yes"/>
    <n v="20"/>
    <n v="7"/>
    <n v="58"/>
  </r>
  <r>
    <n v="3423"/>
    <x v="188"/>
    <x v="2"/>
    <d v="2024-09-05T00:00:00"/>
    <x v="1"/>
    <n v="10"/>
    <x v="0"/>
    <s v="No"/>
    <x v="1"/>
    <s v="Yes"/>
    <n v="20"/>
    <n v="10"/>
    <n v="20"/>
  </r>
  <r>
    <n v="3424"/>
    <x v="14"/>
    <x v="1"/>
    <d v="2024-09-06T00:00:00"/>
    <x v="0"/>
    <n v="5"/>
    <x v="1"/>
    <s v="No"/>
    <x v="1"/>
    <s v="No"/>
    <n v="0"/>
    <n v="0"/>
    <n v="5"/>
  </r>
  <r>
    <n v="3425"/>
    <x v="189"/>
    <x v="0"/>
    <d v="2024-09-07T00:00:00"/>
    <x v="1"/>
    <n v="15"/>
    <x v="0"/>
    <s v="Yes"/>
    <x v="0"/>
    <s v="Yes"/>
    <n v="20"/>
    <n v="20"/>
    <n v="45"/>
  </r>
  <r>
    <n v="3426"/>
    <x v="167"/>
    <x v="2"/>
    <d v="2024-09-08T00:00:00"/>
    <x v="0"/>
    <n v="10"/>
    <x v="2"/>
    <s v="No"/>
    <x v="1"/>
    <s v="Yes"/>
    <n v="20"/>
    <n v="15"/>
    <n v="15"/>
  </r>
  <r>
    <n v="3427"/>
    <x v="190"/>
    <x v="1"/>
    <d v="2024-09-09T00:00:00"/>
    <x v="1"/>
    <n v="5"/>
    <x v="0"/>
    <s v="No"/>
    <x v="1"/>
    <s v="No"/>
    <n v="0"/>
    <n v="1"/>
    <n v="4"/>
  </r>
  <r>
    <n v="3428"/>
    <x v="191"/>
    <x v="0"/>
    <d v="2024-09-10T00:00:00"/>
    <x v="0"/>
    <n v="15"/>
    <x v="1"/>
    <s v="Yes"/>
    <x v="0"/>
    <s v="Yes"/>
    <n v="20"/>
    <n v="3"/>
    <n v="62"/>
  </r>
  <r>
    <n v="3429"/>
    <x v="192"/>
    <x v="2"/>
    <d v="2024-09-11T00:00:00"/>
    <x v="1"/>
    <n v="10"/>
    <x v="0"/>
    <s v="No"/>
    <x v="1"/>
    <s v="Yes"/>
    <n v="20"/>
    <n v="10"/>
    <n v="20"/>
  </r>
  <r>
    <n v="3430"/>
    <x v="193"/>
    <x v="1"/>
    <d v="2024-09-12T00:00:00"/>
    <x v="0"/>
    <n v="5"/>
    <x v="2"/>
    <s v="No"/>
    <x v="1"/>
    <s v="No"/>
    <n v="0"/>
    <n v="0"/>
    <n v="5"/>
  </r>
  <r>
    <n v="3431"/>
    <x v="194"/>
    <x v="0"/>
    <d v="2024-09-13T00:00:00"/>
    <x v="1"/>
    <n v="15"/>
    <x v="0"/>
    <s v="Yes"/>
    <x v="0"/>
    <s v="Yes"/>
    <n v="20"/>
    <n v="15"/>
    <n v="50"/>
  </r>
  <r>
    <n v="3432"/>
    <x v="195"/>
    <x v="2"/>
    <d v="2024-09-14T00:00:00"/>
    <x v="0"/>
    <n v="10"/>
    <x v="1"/>
    <s v="No"/>
    <x v="1"/>
    <s v="Yes"/>
    <n v="20"/>
    <n v="15"/>
    <n v="15"/>
  </r>
  <r>
    <n v="3433"/>
    <x v="196"/>
    <x v="1"/>
    <d v="2024-09-15T00:00:00"/>
    <x v="1"/>
    <n v="5"/>
    <x v="0"/>
    <s v="No"/>
    <x v="1"/>
    <s v="No"/>
    <n v="0"/>
    <n v="1"/>
    <n v="4"/>
  </r>
  <r>
    <n v="3434"/>
    <x v="197"/>
    <x v="0"/>
    <d v="2024-09-16T00:00:00"/>
    <x v="0"/>
    <n v="15"/>
    <x v="2"/>
    <s v="Yes"/>
    <x v="0"/>
    <s v="Yes"/>
    <n v="20"/>
    <n v="7"/>
    <n v="58"/>
  </r>
  <r>
    <n v="3435"/>
    <x v="198"/>
    <x v="2"/>
    <d v="2024-09-17T00:00:00"/>
    <x v="1"/>
    <n v="10"/>
    <x v="0"/>
    <s v="No"/>
    <x v="1"/>
    <s v="Yes"/>
    <n v="20"/>
    <n v="10"/>
    <n v="20"/>
  </r>
  <r>
    <n v="3436"/>
    <x v="199"/>
    <x v="1"/>
    <d v="2024-09-18T00:00:00"/>
    <x v="0"/>
    <n v="5"/>
    <x v="0"/>
    <s v="No"/>
    <x v="1"/>
    <s v="No"/>
    <n v="0"/>
    <n v="0"/>
    <n v="5"/>
  </r>
  <r>
    <n v="3437"/>
    <x v="200"/>
    <x v="0"/>
    <d v="2024-09-19T00:00:00"/>
    <x v="1"/>
    <n v="15"/>
    <x v="2"/>
    <s v="Yes"/>
    <x v="0"/>
    <s v="Yes"/>
    <n v="20"/>
    <n v="7"/>
    <n v="58"/>
  </r>
  <r>
    <n v="3438"/>
    <x v="201"/>
    <x v="2"/>
    <d v="2024-09-20T00:00:00"/>
    <x v="0"/>
    <n v="10"/>
    <x v="1"/>
    <s v="No"/>
    <x v="1"/>
    <s v="Yes"/>
    <n v="20"/>
    <n v="10"/>
    <n v="20"/>
  </r>
  <r>
    <n v="3439"/>
    <x v="202"/>
    <x v="1"/>
    <d v="2024-09-21T00:00:00"/>
    <x v="1"/>
    <n v="5"/>
    <x v="2"/>
    <s v="No"/>
    <x v="1"/>
    <s v="No"/>
    <n v="0"/>
    <n v="1"/>
    <n v="4"/>
  </r>
  <r>
    <n v="3440"/>
    <x v="203"/>
    <x v="0"/>
    <d v="2024-09-22T00:00:00"/>
    <x v="0"/>
    <n v="15"/>
    <x v="0"/>
    <s v="Yes"/>
    <x v="0"/>
    <s v="Yes"/>
    <n v="20"/>
    <n v="15"/>
    <n v="50"/>
  </r>
  <r>
    <n v="3441"/>
    <x v="204"/>
    <x v="2"/>
    <d v="2024-09-23T00:00:00"/>
    <x v="1"/>
    <n v="10"/>
    <x v="0"/>
    <s v="No"/>
    <x v="1"/>
    <s v="Yes"/>
    <n v="20"/>
    <n v="5"/>
    <n v="25"/>
  </r>
  <r>
    <n v="3442"/>
    <x v="205"/>
    <x v="1"/>
    <d v="2024-09-24T00:00:00"/>
    <x v="0"/>
    <n v="5"/>
    <x v="1"/>
    <s v="No"/>
    <x v="1"/>
    <s v="No"/>
    <n v="0"/>
    <n v="0"/>
    <n v="5"/>
  </r>
  <r>
    <n v="3443"/>
    <x v="206"/>
    <x v="0"/>
    <d v="2024-09-25T00:00:00"/>
    <x v="1"/>
    <n v="15"/>
    <x v="2"/>
    <s v="Yes"/>
    <x v="0"/>
    <s v="Yes"/>
    <n v="20"/>
    <n v="20"/>
    <n v="45"/>
  </r>
  <r>
    <n v="3444"/>
    <x v="207"/>
    <x v="2"/>
    <d v="2024-09-26T00:00:00"/>
    <x v="0"/>
    <n v="10"/>
    <x v="2"/>
    <s v="No"/>
    <x v="1"/>
    <s v="Yes"/>
    <n v="20"/>
    <n v="12"/>
    <n v="18"/>
  </r>
  <r>
    <n v="3445"/>
    <x v="37"/>
    <x v="1"/>
    <d v="2024-09-27T00:00:00"/>
    <x v="1"/>
    <n v="5"/>
    <x v="0"/>
    <s v="No"/>
    <x v="1"/>
    <s v="No"/>
    <n v="0"/>
    <n v="2"/>
    <n v="3"/>
  </r>
  <r>
    <n v="3446"/>
    <x v="208"/>
    <x v="0"/>
    <d v="2024-09-28T00:00:00"/>
    <x v="0"/>
    <n v="15"/>
    <x v="1"/>
    <s v="Yes"/>
    <x v="0"/>
    <s v="Yes"/>
    <n v="20"/>
    <n v="5"/>
    <n v="60"/>
  </r>
  <r>
    <n v="3447"/>
    <x v="209"/>
    <x v="2"/>
    <d v="2024-09-29T00:00:00"/>
    <x v="1"/>
    <n v="10"/>
    <x v="0"/>
    <s v="No"/>
    <x v="1"/>
    <s v="Yes"/>
    <n v="20"/>
    <n v="10"/>
    <n v="20"/>
  </r>
  <r>
    <n v="3448"/>
    <x v="210"/>
    <x v="1"/>
    <d v="2024-09-30T00:00:00"/>
    <x v="0"/>
    <n v="5"/>
    <x v="2"/>
    <s v="No"/>
    <x v="1"/>
    <s v="No"/>
    <n v="0"/>
    <n v="0"/>
    <n v="5"/>
  </r>
  <r>
    <n v="3449"/>
    <x v="211"/>
    <x v="0"/>
    <d v="2024-10-01T00:00:00"/>
    <x v="1"/>
    <n v="15"/>
    <x v="0"/>
    <s v="Yes"/>
    <x v="0"/>
    <s v="Yes"/>
    <n v="20"/>
    <n v="3"/>
    <n v="62"/>
  </r>
  <r>
    <n v="3450"/>
    <x v="212"/>
    <x v="2"/>
    <d v="2024-10-02T00:00:00"/>
    <x v="0"/>
    <n v="10"/>
    <x v="1"/>
    <s v="No"/>
    <x v="1"/>
    <s v="Yes"/>
    <n v="20"/>
    <n v="15"/>
    <n v="15"/>
  </r>
  <r>
    <n v="3451"/>
    <x v="213"/>
    <x v="1"/>
    <d v="2024-10-03T00:00:00"/>
    <x v="1"/>
    <n v="5"/>
    <x v="0"/>
    <s v="No"/>
    <x v="1"/>
    <s v="No"/>
    <n v="0"/>
    <n v="1"/>
    <n v="4"/>
  </r>
  <r>
    <n v="3452"/>
    <x v="191"/>
    <x v="0"/>
    <d v="2024-10-04T00:00:00"/>
    <x v="0"/>
    <n v="15"/>
    <x v="2"/>
    <s v="Yes"/>
    <x v="0"/>
    <s v="Yes"/>
    <n v="20"/>
    <n v="7"/>
    <n v="58"/>
  </r>
  <r>
    <n v="3453"/>
    <x v="45"/>
    <x v="2"/>
    <d v="2024-10-05T00:00:00"/>
    <x v="1"/>
    <n v="10"/>
    <x v="0"/>
    <s v="No"/>
    <x v="1"/>
    <s v="Yes"/>
    <n v="20"/>
    <n v="10"/>
    <n v="20"/>
  </r>
  <r>
    <n v="3454"/>
    <x v="214"/>
    <x v="1"/>
    <d v="2024-10-06T00:00:00"/>
    <x v="0"/>
    <n v="5"/>
    <x v="1"/>
    <s v="No"/>
    <x v="1"/>
    <s v="No"/>
    <n v="0"/>
    <n v="0"/>
    <n v="5"/>
  </r>
  <r>
    <n v="3455"/>
    <x v="215"/>
    <x v="0"/>
    <d v="2024-10-07T00:00:00"/>
    <x v="1"/>
    <n v="15"/>
    <x v="0"/>
    <s v="Yes"/>
    <x v="0"/>
    <s v="Yes"/>
    <n v="20"/>
    <n v="20"/>
    <n v="45"/>
  </r>
  <r>
    <n v="3456"/>
    <x v="216"/>
    <x v="2"/>
    <d v="2024-10-08T00:00:00"/>
    <x v="0"/>
    <n v="10"/>
    <x v="2"/>
    <s v="No"/>
    <x v="1"/>
    <s v="Yes"/>
    <n v="20"/>
    <n v="15"/>
    <n v="15"/>
  </r>
  <r>
    <n v="3457"/>
    <x v="217"/>
    <x v="1"/>
    <d v="2024-10-09T00:00:00"/>
    <x v="1"/>
    <n v="5"/>
    <x v="0"/>
    <s v="No"/>
    <x v="1"/>
    <s v="No"/>
    <n v="0"/>
    <n v="1"/>
    <n v="4"/>
  </r>
  <r>
    <n v="3458"/>
    <x v="218"/>
    <x v="0"/>
    <d v="2024-10-10T00:00:00"/>
    <x v="0"/>
    <n v="15"/>
    <x v="1"/>
    <s v="Yes"/>
    <x v="0"/>
    <s v="Yes"/>
    <n v="20"/>
    <n v="3"/>
    <n v="62"/>
  </r>
  <r>
    <n v="3459"/>
    <x v="219"/>
    <x v="2"/>
    <d v="2024-10-11T00:00:00"/>
    <x v="1"/>
    <n v="10"/>
    <x v="0"/>
    <s v="No"/>
    <x v="1"/>
    <s v="Yes"/>
    <n v="20"/>
    <n v="10"/>
    <n v="20"/>
  </r>
  <r>
    <n v="3460"/>
    <x v="127"/>
    <x v="1"/>
    <d v="2024-10-12T00:00:00"/>
    <x v="0"/>
    <n v="5"/>
    <x v="2"/>
    <s v="No"/>
    <x v="1"/>
    <s v="No"/>
    <n v="0"/>
    <n v="0"/>
    <n v="5"/>
  </r>
  <r>
    <n v="3461"/>
    <x v="220"/>
    <x v="0"/>
    <d v="2024-10-13T00:00:00"/>
    <x v="1"/>
    <n v="15"/>
    <x v="0"/>
    <s v="Yes"/>
    <x v="0"/>
    <s v="Yes"/>
    <n v="20"/>
    <n v="15"/>
    <n v="50"/>
  </r>
  <r>
    <n v="3462"/>
    <x v="221"/>
    <x v="2"/>
    <d v="2024-10-14T00:00:00"/>
    <x v="0"/>
    <n v="10"/>
    <x v="1"/>
    <s v="No"/>
    <x v="1"/>
    <s v="Yes"/>
    <n v="20"/>
    <n v="15"/>
    <n v="15"/>
  </r>
  <r>
    <n v="3463"/>
    <x v="222"/>
    <x v="1"/>
    <d v="2024-10-15T00:00:00"/>
    <x v="1"/>
    <n v="5"/>
    <x v="0"/>
    <s v="No"/>
    <x v="1"/>
    <s v="No"/>
    <n v="0"/>
    <n v="1"/>
    <n v="4"/>
  </r>
  <r>
    <n v="3464"/>
    <x v="223"/>
    <x v="0"/>
    <d v="2024-10-16T00:00:00"/>
    <x v="0"/>
    <n v="15"/>
    <x v="2"/>
    <s v="Yes"/>
    <x v="0"/>
    <s v="Yes"/>
    <n v="20"/>
    <n v="7"/>
    <n v="58"/>
  </r>
  <r>
    <n v="3465"/>
    <x v="224"/>
    <x v="2"/>
    <d v="2024-10-17T00:00:00"/>
    <x v="1"/>
    <n v="10"/>
    <x v="0"/>
    <s v="No"/>
    <x v="1"/>
    <s v="Yes"/>
    <n v="20"/>
    <n v="10"/>
    <n v="20"/>
  </r>
  <r>
    <n v="3466"/>
    <x v="225"/>
    <x v="1"/>
    <d v="2024-10-18T00:00:00"/>
    <x v="0"/>
    <n v="5"/>
    <x v="1"/>
    <s v="No"/>
    <x v="1"/>
    <s v="No"/>
    <n v="0"/>
    <n v="0"/>
    <n v="5"/>
  </r>
  <r>
    <n v="3467"/>
    <x v="226"/>
    <x v="0"/>
    <d v="2024-10-19T00:00:00"/>
    <x v="1"/>
    <n v="15"/>
    <x v="0"/>
    <s v="Yes"/>
    <x v="0"/>
    <s v="Yes"/>
    <n v="20"/>
    <n v="15"/>
    <n v="50"/>
  </r>
  <r>
    <n v="3468"/>
    <x v="227"/>
    <x v="2"/>
    <d v="2024-10-20T00:00:00"/>
    <x v="0"/>
    <n v="10"/>
    <x v="2"/>
    <s v="No"/>
    <x v="1"/>
    <s v="Yes"/>
    <n v="20"/>
    <n v="12"/>
    <n v="18"/>
  </r>
  <r>
    <n v="3469"/>
    <x v="228"/>
    <x v="1"/>
    <d v="2024-10-21T00:00:00"/>
    <x v="1"/>
    <n v="5"/>
    <x v="0"/>
    <s v="No"/>
    <x v="1"/>
    <s v="No"/>
    <n v="0"/>
    <n v="2"/>
    <n v="3"/>
  </r>
  <r>
    <n v="3470"/>
    <x v="229"/>
    <x v="0"/>
    <d v="2024-10-22T00:00:00"/>
    <x v="0"/>
    <n v="15"/>
    <x v="1"/>
    <s v="Yes"/>
    <x v="0"/>
    <s v="Yes"/>
    <n v="20"/>
    <n v="5"/>
    <n v="60"/>
  </r>
  <r>
    <n v="3471"/>
    <x v="230"/>
    <x v="2"/>
    <d v="2024-10-23T00:00:00"/>
    <x v="1"/>
    <n v="10"/>
    <x v="0"/>
    <s v="No"/>
    <x v="1"/>
    <s v="Yes"/>
    <n v="20"/>
    <n v="10"/>
    <n v="20"/>
  </r>
  <r>
    <n v="3472"/>
    <x v="231"/>
    <x v="1"/>
    <d v="2024-10-24T00:00:00"/>
    <x v="0"/>
    <n v="5"/>
    <x v="2"/>
    <s v="No"/>
    <x v="1"/>
    <s v="No"/>
    <n v="0"/>
    <n v="0"/>
    <n v="5"/>
  </r>
  <r>
    <n v="3473"/>
    <x v="140"/>
    <x v="0"/>
    <d v="2024-10-25T00:00:00"/>
    <x v="1"/>
    <n v="15"/>
    <x v="0"/>
    <s v="Yes"/>
    <x v="0"/>
    <s v="Yes"/>
    <n v="20"/>
    <n v="3"/>
    <n v="62"/>
  </r>
  <r>
    <n v="3474"/>
    <x v="232"/>
    <x v="2"/>
    <d v="2024-10-26T00:00:00"/>
    <x v="0"/>
    <n v="10"/>
    <x v="1"/>
    <s v="No"/>
    <x v="1"/>
    <s v="Yes"/>
    <n v="20"/>
    <n v="15"/>
    <n v="15"/>
  </r>
  <r>
    <n v="3475"/>
    <x v="233"/>
    <x v="1"/>
    <d v="2024-10-27T00:00:00"/>
    <x v="1"/>
    <n v="5"/>
    <x v="0"/>
    <s v="No"/>
    <x v="1"/>
    <s v="No"/>
    <n v="0"/>
    <n v="1"/>
    <n v="4"/>
  </r>
  <r>
    <n v="3476"/>
    <x v="234"/>
    <x v="0"/>
    <d v="2024-10-28T00:00:00"/>
    <x v="0"/>
    <n v="15"/>
    <x v="2"/>
    <s v="Yes"/>
    <x v="0"/>
    <s v="Yes"/>
    <n v="20"/>
    <n v="7"/>
    <n v="58"/>
  </r>
  <r>
    <n v="3477"/>
    <x v="235"/>
    <x v="2"/>
    <d v="2024-10-29T00:00:00"/>
    <x v="1"/>
    <n v="10"/>
    <x v="0"/>
    <s v="No"/>
    <x v="1"/>
    <s v="Yes"/>
    <n v="20"/>
    <n v="10"/>
    <n v="20"/>
  </r>
  <r>
    <n v="3478"/>
    <x v="236"/>
    <x v="1"/>
    <d v="2024-10-30T00:00:00"/>
    <x v="0"/>
    <n v="5"/>
    <x v="1"/>
    <s v="No"/>
    <x v="1"/>
    <s v="No"/>
    <n v="0"/>
    <n v="0"/>
    <n v="5"/>
  </r>
  <r>
    <n v="3479"/>
    <x v="237"/>
    <x v="0"/>
    <d v="2024-10-31T00:00:00"/>
    <x v="1"/>
    <n v="15"/>
    <x v="0"/>
    <s v="Yes"/>
    <x v="0"/>
    <s v="Yes"/>
    <n v="20"/>
    <n v="20"/>
    <n v="45"/>
  </r>
  <r>
    <n v="3480"/>
    <x v="238"/>
    <x v="2"/>
    <d v="2024-11-01T00:00:00"/>
    <x v="0"/>
    <n v="10"/>
    <x v="2"/>
    <s v="No"/>
    <x v="1"/>
    <s v="Yes"/>
    <n v="20"/>
    <n v="15"/>
    <n v="15"/>
  </r>
  <r>
    <n v="3481"/>
    <x v="239"/>
    <x v="1"/>
    <d v="2024-11-02T00:00:00"/>
    <x v="1"/>
    <n v="5"/>
    <x v="0"/>
    <s v="No"/>
    <x v="1"/>
    <s v="No"/>
    <n v="0"/>
    <n v="1"/>
    <n v="4"/>
  </r>
  <r>
    <n v="3482"/>
    <x v="240"/>
    <x v="0"/>
    <d v="2024-11-03T00:00:00"/>
    <x v="0"/>
    <n v="15"/>
    <x v="1"/>
    <s v="Yes"/>
    <x v="0"/>
    <s v="Yes"/>
    <n v="20"/>
    <n v="3"/>
    <n v="62"/>
  </r>
  <r>
    <n v="3483"/>
    <x v="241"/>
    <x v="2"/>
    <d v="2024-11-04T00:00:00"/>
    <x v="1"/>
    <n v="10"/>
    <x v="0"/>
    <s v="No"/>
    <x v="1"/>
    <s v="Yes"/>
    <n v="20"/>
    <n v="10"/>
    <n v="20"/>
  </r>
  <r>
    <n v="3484"/>
    <x v="242"/>
    <x v="1"/>
    <d v="2024-11-05T00:00:00"/>
    <x v="0"/>
    <n v="5"/>
    <x v="2"/>
    <s v="No"/>
    <x v="1"/>
    <s v="No"/>
    <n v="0"/>
    <n v="0"/>
    <n v="5"/>
  </r>
  <r>
    <n v="3485"/>
    <x v="243"/>
    <x v="0"/>
    <d v="2024-11-06T00:00:00"/>
    <x v="1"/>
    <n v="15"/>
    <x v="0"/>
    <s v="Yes"/>
    <x v="0"/>
    <s v="Yes"/>
    <n v="20"/>
    <n v="15"/>
    <n v="50"/>
  </r>
  <r>
    <n v="3486"/>
    <x v="244"/>
    <x v="1"/>
    <d v="2024-11-07T00:00:00"/>
    <x v="0"/>
    <n v="5"/>
    <x v="0"/>
    <s v="No"/>
    <x v="1"/>
    <s v="No"/>
    <n v="0"/>
    <n v="0"/>
    <n v="5"/>
  </r>
  <r>
    <n v="3487"/>
    <x v="245"/>
    <x v="0"/>
    <d v="2024-11-08T00:00:00"/>
    <x v="1"/>
    <n v="15"/>
    <x v="2"/>
    <s v="Yes"/>
    <x v="0"/>
    <s v="Yes"/>
    <n v="20"/>
    <n v="7"/>
    <n v="58"/>
  </r>
  <r>
    <n v="3488"/>
    <x v="246"/>
    <x v="2"/>
    <d v="2024-11-09T00:00:00"/>
    <x v="0"/>
    <n v="10"/>
    <x v="1"/>
    <s v="No"/>
    <x v="1"/>
    <s v="Yes"/>
    <n v="20"/>
    <n v="10"/>
    <n v="20"/>
  </r>
  <r>
    <n v="3489"/>
    <x v="247"/>
    <x v="1"/>
    <d v="2024-11-10T00:00:00"/>
    <x v="1"/>
    <n v="5"/>
    <x v="2"/>
    <s v="No"/>
    <x v="1"/>
    <s v="No"/>
    <n v="0"/>
    <n v="1"/>
    <n v="4"/>
  </r>
  <r>
    <n v="3490"/>
    <x v="248"/>
    <x v="0"/>
    <d v="2024-11-11T00:00:00"/>
    <x v="0"/>
    <n v="15"/>
    <x v="0"/>
    <s v="Yes"/>
    <x v="0"/>
    <s v="Yes"/>
    <n v="20"/>
    <n v="15"/>
    <n v="50"/>
  </r>
  <r>
    <n v="3491"/>
    <x v="249"/>
    <x v="2"/>
    <d v="2024-11-12T00:00:00"/>
    <x v="1"/>
    <n v="10"/>
    <x v="0"/>
    <s v="No"/>
    <x v="1"/>
    <s v="Yes"/>
    <n v="20"/>
    <n v="5"/>
    <n v="25"/>
  </r>
  <r>
    <n v="3492"/>
    <x v="250"/>
    <x v="1"/>
    <d v="2024-11-13T00:00:00"/>
    <x v="0"/>
    <n v="5"/>
    <x v="1"/>
    <s v="No"/>
    <x v="1"/>
    <s v="No"/>
    <n v="0"/>
    <n v="0"/>
    <n v="5"/>
  </r>
  <r>
    <n v="3493"/>
    <x v="251"/>
    <x v="0"/>
    <d v="2024-11-14T00:00:00"/>
    <x v="1"/>
    <n v="15"/>
    <x v="2"/>
    <s v="Yes"/>
    <x v="0"/>
    <s v="Yes"/>
    <n v="20"/>
    <n v="20"/>
    <n v="45"/>
  </r>
  <r>
    <n v="3494"/>
    <x v="252"/>
    <x v="2"/>
    <d v="2024-11-15T00:00:00"/>
    <x v="0"/>
    <n v="10"/>
    <x v="2"/>
    <s v="No"/>
    <x v="1"/>
    <s v="Yes"/>
    <n v="20"/>
    <n v="12"/>
    <n v="18"/>
  </r>
  <r>
    <n v="3495"/>
    <x v="253"/>
    <x v="1"/>
    <d v="2024-11-16T00:00:00"/>
    <x v="1"/>
    <n v="5"/>
    <x v="0"/>
    <s v="No"/>
    <x v="1"/>
    <s v="No"/>
    <n v="0"/>
    <n v="2"/>
    <n v="3"/>
  </r>
  <r>
    <n v="3496"/>
    <x v="254"/>
    <x v="0"/>
    <d v="2024-11-17T00:00:00"/>
    <x v="0"/>
    <n v="15"/>
    <x v="1"/>
    <s v="Yes"/>
    <x v="0"/>
    <s v="Yes"/>
    <n v="20"/>
    <n v="5"/>
    <n v="60"/>
  </r>
  <r>
    <n v="3497"/>
    <x v="255"/>
    <x v="2"/>
    <d v="2024-11-18T00:00:00"/>
    <x v="1"/>
    <n v="10"/>
    <x v="0"/>
    <s v="No"/>
    <x v="1"/>
    <s v="Yes"/>
    <n v="20"/>
    <n v="10"/>
    <n v="20"/>
  </r>
  <r>
    <n v="3498"/>
    <x v="256"/>
    <x v="1"/>
    <d v="2024-11-19T00:00:00"/>
    <x v="0"/>
    <n v="5"/>
    <x v="2"/>
    <s v="No"/>
    <x v="1"/>
    <s v="No"/>
    <n v="0"/>
    <n v="0"/>
    <n v="5"/>
  </r>
  <r>
    <n v="3499"/>
    <x v="257"/>
    <x v="0"/>
    <d v="2024-11-20T00:00:00"/>
    <x v="1"/>
    <n v="15"/>
    <x v="0"/>
    <s v="Yes"/>
    <x v="0"/>
    <s v="Yes"/>
    <n v="20"/>
    <n v="3"/>
    <n v="62"/>
  </r>
  <r>
    <n v="3500"/>
    <x v="258"/>
    <x v="2"/>
    <d v="2024-11-21T00:00:00"/>
    <x v="0"/>
    <n v="10"/>
    <x v="1"/>
    <s v="No"/>
    <x v="1"/>
    <s v="Yes"/>
    <n v="20"/>
    <n v="15"/>
    <n v="15"/>
  </r>
  <r>
    <n v="3501"/>
    <x v="259"/>
    <x v="1"/>
    <d v="2024-11-22T00:00:00"/>
    <x v="1"/>
    <n v="5"/>
    <x v="0"/>
    <s v="No"/>
    <x v="1"/>
    <s v="No"/>
    <n v="0"/>
    <n v="1"/>
    <n v="4"/>
  </r>
  <r>
    <n v="3502"/>
    <x v="260"/>
    <x v="0"/>
    <d v="2024-11-23T00:00:00"/>
    <x v="0"/>
    <n v="15"/>
    <x v="2"/>
    <s v="Yes"/>
    <x v="0"/>
    <s v="Yes"/>
    <n v="20"/>
    <n v="7"/>
    <n v="58"/>
  </r>
  <r>
    <n v="3503"/>
    <x v="119"/>
    <x v="2"/>
    <d v="2024-11-24T00:00:00"/>
    <x v="1"/>
    <n v="10"/>
    <x v="0"/>
    <s v="No"/>
    <x v="1"/>
    <s v="Yes"/>
    <n v="20"/>
    <n v="10"/>
    <n v="20"/>
  </r>
  <r>
    <n v="3504"/>
    <x v="261"/>
    <x v="1"/>
    <d v="2024-11-25T00:00:00"/>
    <x v="0"/>
    <n v="5"/>
    <x v="1"/>
    <s v="No"/>
    <x v="1"/>
    <s v="No"/>
    <n v="0"/>
    <n v="0"/>
    <n v="5"/>
  </r>
  <r>
    <n v="3505"/>
    <x v="262"/>
    <x v="0"/>
    <d v="2024-11-26T00:00:00"/>
    <x v="1"/>
    <n v="15"/>
    <x v="0"/>
    <s v="Yes"/>
    <x v="0"/>
    <s v="Yes"/>
    <n v="20"/>
    <n v="20"/>
    <n v="45"/>
  </r>
  <r>
    <n v="3506"/>
    <x v="263"/>
    <x v="2"/>
    <d v="2024-11-27T00:00:00"/>
    <x v="0"/>
    <n v="10"/>
    <x v="2"/>
    <s v="No"/>
    <x v="1"/>
    <s v="Yes"/>
    <n v="20"/>
    <n v="15"/>
    <n v="15"/>
  </r>
  <r>
    <n v="3507"/>
    <x v="264"/>
    <x v="1"/>
    <d v="2024-11-28T00:00:00"/>
    <x v="1"/>
    <n v="5"/>
    <x v="0"/>
    <s v="No"/>
    <x v="1"/>
    <s v="No"/>
    <n v="0"/>
    <n v="1"/>
    <n v="4"/>
  </r>
  <r>
    <n v="3508"/>
    <x v="265"/>
    <x v="0"/>
    <d v="2024-11-29T00:00:00"/>
    <x v="0"/>
    <n v="15"/>
    <x v="1"/>
    <s v="Yes"/>
    <x v="0"/>
    <s v="Yes"/>
    <n v="20"/>
    <n v="3"/>
    <n v="62"/>
  </r>
  <r>
    <n v="3509"/>
    <x v="266"/>
    <x v="2"/>
    <d v="2024-11-30T00:00:00"/>
    <x v="1"/>
    <n v="10"/>
    <x v="0"/>
    <s v="No"/>
    <x v="1"/>
    <s v="Yes"/>
    <n v="20"/>
    <n v="10"/>
    <n v="20"/>
  </r>
  <r>
    <n v="3510"/>
    <x v="267"/>
    <x v="1"/>
    <d v="2024-12-01T00:00:00"/>
    <x v="0"/>
    <n v="5"/>
    <x v="2"/>
    <s v="No"/>
    <x v="1"/>
    <s v="No"/>
    <n v="0"/>
    <n v="0"/>
    <n v="5"/>
  </r>
  <r>
    <n v="3511"/>
    <x v="268"/>
    <x v="0"/>
    <d v="2024-12-02T00:00:00"/>
    <x v="1"/>
    <n v="15"/>
    <x v="0"/>
    <s v="Yes"/>
    <x v="0"/>
    <s v="Yes"/>
    <n v="20"/>
    <n v="15"/>
    <n v="50"/>
  </r>
  <r>
    <n v="3512"/>
    <x v="269"/>
    <x v="2"/>
    <d v="2024-12-03T00:00:00"/>
    <x v="0"/>
    <n v="10"/>
    <x v="1"/>
    <s v="No"/>
    <x v="1"/>
    <s v="Yes"/>
    <n v="20"/>
    <n v="15"/>
    <n v="15"/>
  </r>
  <r>
    <n v="3513"/>
    <x v="270"/>
    <x v="1"/>
    <d v="2024-12-04T00:00:00"/>
    <x v="1"/>
    <n v="5"/>
    <x v="0"/>
    <s v="No"/>
    <x v="1"/>
    <s v="No"/>
    <n v="0"/>
    <n v="1"/>
    <n v="4"/>
  </r>
  <r>
    <n v="3514"/>
    <x v="271"/>
    <x v="0"/>
    <d v="2024-12-05T00:00:00"/>
    <x v="0"/>
    <n v="15"/>
    <x v="2"/>
    <s v="Yes"/>
    <x v="0"/>
    <s v="Yes"/>
    <n v="20"/>
    <n v="7"/>
    <n v="58"/>
  </r>
  <r>
    <n v="3515"/>
    <x v="130"/>
    <x v="2"/>
    <d v="2024-12-06T00:00:00"/>
    <x v="1"/>
    <n v="10"/>
    <x v="0"/>
    <s v="No"/>
    <x v="1"/>
    <s v="Yes"/>
    <n v="20"/>
    <n v="10"/>
    <n v="20"/>
  </r>
  <r>
    <n v="3516"/>
    <x v="131"/>
    <x v="1"/>
    <d v="2024-12-07T00:00:00"/>
    <x v="0"/>
    <n v="5"/>
    <x v="1"/>
    <s v="No"/>
    <x v="1"/>
    <s v="No"/>
    <n v="0"/>
    <n v="0"/>
    <n v="5"/>
  </r>
  <r>
    <n v="3517"/>
    <x v="181"/>
    <x v="0"/>
    <d v="2024-12-08T00:00:00"/>
    <x v="1"/>
    <n v="15"/>
    <x v="0"/>
    <s v="Yes"/>
    <x v="0"/>
    <s v="Yes"/>
    <n v="20"/>
    <n v="20"/>
    <n v="45"/>
  </r>
  <r>
    <n v="3518"/>
    <x v="272"/>
    <x v="2"/>
    <d v="2024-12-09T00:00:00"/>
    <x v="0"/>
    <n v="10"/>
    <x v="2"/>
    <s v="No"/>
    <x v="1"/>
    <s v="Yes"/>
    <n v="20"/>
    <n v="12"/>
    <n v="18"/>
  </r>
  <r>
    <n v="3519"/>
    <x v="273"/>
    <x v="1"/>
    <d v="2024-12-10T00:00:00"/>
    <x v="1"/>
    <n v="5"/>
    <x v="0"/>
    <s v="No"/>
    <x v="1"/>
    <s v="No"/>
    <n v="0"/>
    <n v="2"/>
    <n v="3"/>
  </r>
  <r>
    <n v="3520"/>
    <x v="274"/>
    <x v="0"/>
    <d v="2024-12-11T00:00:00"/>
    <x v="0"/>
    <n v="15"/>
    <x v="1"/>
    <s v="Yes"/>
    <x v="0"/>
    <s v="Yes"/>
    <n v="20"/>
    <n v="5"/>
    <n v="60"/>
  </r>
  <r>
    <n v="3521"/>
    <x v="275"/>
    <x v="2"/>
    <d v="2024-12-12T00:00:00"/>
    <x v="1"/>
    <n v="10"/>
    <x v="0"/>
    <s v="No"/>
    <x v="1"/>
    <s v="Yes"/>
    <n v="20"/>
    <n v="10"/>
    <n v="20"/>
  </r>
  <r>
    <n v="3522"/>
    <x v="276"/>
    <x v="1"/>
    <d v="2024-12-13T00:00:00"/>
    <x v="0"/>
    <n v="5"/>
    <x v="2"/>
    <s v="No"/>
    <x v="1"/>
    <s v="No"/>
    <n v="0"/>
    <n v="0"/>
    <n v="5"/>
  </r>
  <r>
    <n v="3523"/>
    <x v="277"/>
    <x v="0"/>
    <d v="2024-12-14T00:00:00"/>
    <x v="1"/>
    <n v="15"/>
    <x v="0"/>
    <s v="Yes"/>
    <x v="0"/>
    <s v="Yes"/>
    <n v="20"/>
    <n v="3"/>
    <n v="62"/>
  </r>
  <r>
    <n v="3524"/>
    <x v="278"/>
    <x v="2"/>
    <d v="2024-12-15T00:00:00"/>
    <x v="0"/>
    <n v="10"/>
    <x v="1"/>
    <s v="No"/>
    <x v="1"/>
    <s v="Yes"/>
    <n v="20"/>
    <n v="15"/>
    <n v="15"/>
  </r>
  <r>
    <n v="3525"/>
    <x v="279"/>
    <x v="1"/>
    <d v="2024-12-16T00:00:00"/>
    <x v="1"/>
    <n v="5"/>
    <x v="0"/>
    <s v="No"/>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7F6459-59F1-4EE3-AE68-66173F806C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25:D29"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showAll="0">
      <items count="4">
        <item x="1"/>
        <item x="0"/>
        <item x="2"/>
        <item t="default"/>
      </items>
    </pivotField>
    <pivotField showAll="0"/>
    <pivotField showAll="0">
      <items count="3">
        <item x="0"/>
        <item x="1"/>
        <item t="default"/>
      </items>
    </pivotField>
    <pivotField showAll="0"/>
    <pivotField dataField="1" numFmtId="164" showAll="0"/>
    <pivotField numFmtId="164" showAll="0"/>
    <pivotField numFmtId="164" showAll="0"/>
  </pivotFields>
  <rowFields count="1">
    <field x="2"/>
  </rowFields>
  <rowItems count="4">
    <i>
      <x/>
    </i>
    <i>
      <x v="1"/>
    </i>
    <i>
      <x v="2"/>
    </i>
    <i t="grand">
      <x/>
    </i>
  </rowItems>
  <colItems count="1">
    <i/>
  </colItems>
  <pageFields count="1">
    <pageField fld="6" item="2" hier="-1"/>
  </pageFields>
  <dataFields count="1">
    <dataField name="Sum of Minecraft Season Pass Pric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25A5D1-43AF-4EDA-B8B2-66540649EF38}" name="tabela_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6:D20"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showAll="0">
      <items count="4">
        <item x="1"/>
        <item x="0"/>
        <item x="2"/>
        <item t="default"/>
      </items>
    </pivotField>
    <pivotField showAll="0"/>
    <pivotField dataField="1" showAll="0">
      <items count="3">
        <item x="0"/>
        <item x="1"/>
        <item t="default"/>
      </items>
    </pivotField>
    <pivotField showAll="0"/>
    <pivotField numFmtId="164" showAll="0"/>
    <pivotField numFmtId="164" showAll="0"/>
    <pivotField numFmtId="164" showAll="0"/>
  </pivotFields>
  <rowFields count="1">
    <field x="2"/>
  </rowFields>
  <rowItems count="4">
    <i>
      <x/>
    </i>
    <i>
      <x v="1"/>
    </i>
    <i>
      <x v="2"/>
    </i>
    <i t="grand">
      <x/>
    </i>
  </rowItems>
  <colItems count="1">
    <i/>
  </colItems>
  <pageFields count="1">
    <pageField fld="6" item="2" hier="-1"/>
  </pageFields>
  <dataFields count="1">
    <dataField name="Sum of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24C3BD-A22D-45E7-A7BB-EFC782FA961E}" name="tbl_annual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7:D10"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showAll="0">
      <items count="3">
        <item x="1"/>
        <item x="0"/>
        <item t="default"/>
      </items>
    </pivotField>
    <pivotField numFmtId="164" showAll="0"/>
    <pivotField axis="axisPage" showAll="0">
      <items count="4">
        <item x="1"/>
        <item x="0"/>
        <item x="2"/>
        <item t="default"/>
      </items>
    </pivotField>
    <pivotField showAll="0"/>
    <pivotField showAll="0"/>
    <pivotField showAll="0"/>
    <pivotField numFmtId="164" showAll="0"/>
    <pivotField numFmtId="164" showAll="0"/>
    <pivotField dataField="1" numFmtId="164" showAll="0"/>
  </pivotFields>
  <rowFields count="1">
    <field x="4"/>
  </rowFields>
  <rowItems count="3">
    <i>
      <x/>
    </i>
    <i>
      <x v="1"/>
    </i>
    <i t="grand">
      <x/>
    </i>
  </rowItems>
  <colItems count="1">
    <i/>
  </colItems>
  <pageFields count="1">
    <pageField fld="6" item="2" hier="-1"/>
  </pageFields>
  <dataFields count="1">
    <dataField name="Sum of Total Value" fld="12"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E63CEA98-D2B4-4476-9E9F-277D2635ED89}" sourceName="Subscription Type">
  <pivotTables>
    <pivotTable tabId="3" name="tbl_annual_total"/>
    <pivotTable tabId="3" name="tabela_2"/>
    <pivotTable tabId="3" name="PivotTable1"/>
  </pivotTables>
  <data>
    <tabular pivotCacheId="1645703366">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2EDE53AB-96D3-4130-8FA1-E006A4299654}" cache="Slicer_Subscription_Type" caption="Subscription Type" style="SlicerStyleLight5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3">
  <autoFilter ref="A1:M296" xr:uid="{34E0E886-4200-4B36-97B3-63DB74FF40A0}">
    <filterColumn colId="7">
      <filters>
        <filter val="Yes"/>
      </filters>
    </filterColumn>
  </autoFilter>
  <tableColumns count="13">
    <tableColumn id="1" xr3:uid="{C4A90516-688A-46BF-9167-EA16C2A8A652}" name="Subscriber ID" dataDxfId="12"/>
    <tableColumn id="2" xr3:uid="{53DD39D0-2220-4121-9E9D-4EAA7E151C0F}" name="Name" dataDxfId="11"/>
    <tableColumn id="3" xr3:uid="{4F5FF271-4C57-4BE0-8F2C-F82C8551625C}" name="Plan" dataDxfId="10"/>
    <tableColumn id="4" xr3:uid="{8C17EB93-79B9-4E55-B8F7-BEB82F8253E9}" name="Start Date" dataDxfId="9"/>
    <tableColumn id="5" xr3:uid="{48CEDF9B-1689-482A-A828-5CCE7713264A}" name="Auto Renewal" dataDxfId="8"/>
    <tableColumn id="6" xr3:uid="{78B82374-9AA7-4E38-AE4F-78CDE6C83720}" name="Subscription Price" dataDxfId="7"/>
    <tableColumn id="7" xr3:uid="{F2433F68-AF33-49D0-B1FB-19A396074EDE}" name="Subscription Type" dataDxfId="6"/>
    <tableColumn id="8" xr3:uid="{FD4D9C95-F6E5-4933-9068-A71FF7DF9343}" name="EA Play Season Pass" dataDxfId="5"/>
    <tableColumn id="13" xr3:uid="{978DD0D2-834E-4CE4-A39B-30976086932F}" name="EA Play Season Pass_x000a_Price" dataDxfId="4"/>
    <tableColumn id="9" xr3:uid="{6E29F111-C395-4580-9DAD-3407D9E8B1A4}" name="Minecraft Season Pass" dataDxfId="3"/>
    <tableColumn id="10" xr3:uid="{EF544EAA-7F25-4FD5-A10E-8E62804DB9E3}" name="Minecraft Season Pass Price" dataDxfId="2"/>
    <tableColumn id="11" xr3:uid="{7F6EB64A-1F07-4E48-9F0F-AC7D9DCD26F8}" name="Coupon Value" dataDxfId="1"/>
    <tableColumn id="12" xr3:uid="{2B04ABC8-DE6F-426E-ADC0-D8AFC68CA58E}" name="Total Valu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topLeftCell="A15" zoomScaleNormal="100" workbookViewId="0">
      <selection activeCell="E5" sqref="E5"/>
    </sheetView>
  </sheetViews>
  <sheetFormatPr defaultRowHeight="14.5" x14ac:dyDescent="0.35"/>
  <cols>
    <col min="9" max="9" width="3.54296875" customWidth="1"/>
  </cols>
  <sheetData>
    <row r="3" spans="2:16" ht="20" thickBot="1" x14ac:dyDescent="0.5">
      <c r="B3" s="1" t="s">
        <v>0</v>
      </c>
      <c r="C3" s="1"/>
      <c r="D3" s="1"/>
      <c r="E3" s="1"/>
      <c r="F3" s="1"/>
      <c r="G3" s="1"/>
      <c r="H3" s="1"/>
    </row>
    <row r="4" spans="2:16" ht="15" thickTop="1" x14ac:dyDescent="0.35"/>
    <row r="5" spans="2:16" x14ac:dyDescent="0.35">
      <c r="B5" s="3" t="s">
        <v>2</v>
      </c>
      <c r="C5" t="s">
        <v>8</v>
      </c>
      <c r="E5" s="7" t="s">
        <v>6</v>
      </c>
      <c r="F5" t="s">
        <v>7</v>
      </c>
    </row>
    <row r="6" spans="2:16" x14ac:dyDescent="0.35">
      <c r="B6" s="4" t="s">
        <v>3</v>
      </c>
      <c r="C6" t="s">
        <v>8</v>
      </c>
    </row>
    <row r="7" spans="2:16" x14ac:dyDescent="0.35">
      <c r="B7" s="5" t="s">
        <v>4</v>
      </c>
      <c r="C7" t="s">
        <v>9</v>
      </c>
    </row>
    <row r="8" spans="2:16" x14ac:dyDescent="0.35">
      <c r="B8" s="6" t="s">
        <v>5</v>
      </c>
      <c r="C8" t="s">
        <v>9</v>
      </c>
    </row>
    <row r="12" spans="2:16" ht="20" thickBot="1" x14ac:dyDescent="0.5">
      <c r="B12" s="1" t="s">
        <v>1</v>
      </c>
      <c r="C12" s="1"/>
      <c r="D12" s="1"/>
      <c r="E12" s="1"/>
      <c r="F12" s="1"/>
      <c r="G12" s="1"/>
      <c r="H12" s="1"/>
      <c r="J12" s="1" t="s">
        <v>10</v>
      </c>
      <c r="K12" s="1"/>
      <c r="L12" s="1"/>
      <c r="M12" s="1"/>
      <c r="N12" s="1"/>
      <c r="O12" s="1"/>
      <c r="P12" s="1"/>
    </row>
    <row r="13" spans="2:16" ht="15" thickTop="1" x14ac:dyDescent="0.35">
      <c r="B13" s="2"/>
      <c r="C13" s="2"/>
      <c r="D13" s="2"/>
      <c r="E13" s="2"/>
      <c r="F13" s="2"/>
      <c r="G13" s="2"/>
      <c r="H13" s="2"/>
    </row>
    <row r="14" spans="2:16" x14ac:dyDescent="0.35">
      <c r="B14" s="2"/>
      <c r="C14" s="2"/>
      <c r="D14" s="2"/>
      <c r="E14" s="2"/>
      <c r="F14" s="2"/>
      <c r="G14" s="2"/>
      <c r="H14" s="2"/>
    </row>
    <row r="15" spans="2:16" x14ac:dyDescent="0.35">
      <c r="B15" s="2"/>
      <c r="C15" s="2"/>
      <c r="D15" s="2"/>
      <c r="E15" s="2"/>
      <c r="F15" s="2"/>
      <c r="G15" s="2"/>
      <c r="H15" s="2"/>
    </row>
    <row r="16" spans="2:16" x14ac:dyDescent="0.35">
      <c r="B16" s="2"/>
      <c r="C16" s="2"/>
      <c r="D16" s="2"/>
      <c r="E16" s="2"/>
      <c r="F16" s="2"/>
      <c r="G16" s="2"/>
      <c r="H16" s="2"/>
    </row>
    <row r="17" spans="2:8" x14ac:dyDescent="0.35">
      <c r="B17" s="2"/>
      <c r="C17" s="2"/>
      <c r="D17" s="2"/>
      <c r="E17" s="2"/>
      <c r="F17" s="2"/>
      <c r="G17" s="2"/>
      <c r="H17" s="2"/>
    </row>
    <row r="18" spans="2:8" x14ac:dyDescent="0.35">
      <c r="B18" s="2"/>
      <c r="C18" s="2"/>
      <c r="D18" s="2"/>
      <c r="E18" s="2"/>
      <c r="F18" s="2"/>
      <c r="G18" s="2"/>
      <c r="H18" s="2"/>
    </row>
    <row r="19" spans="2:8" x14ac:dyDescent="0.35">
      <c r="B19" s="2"/>
      <c r="C19" s="2"/>
      <c r="D19" s="2"/>
      <c r="E19" s="2"/>
      <c r="F19" s="2"/>
      <c r="G19" s="2"/>
      <c r="H19" s="2"/>
    </row>
    <row r="20" spans="2:8" x14ac:dyDescent="0.35">
      <c r="B20" s="2"/>
      <c r="C20" s="2"/>
      <c r="D20" s="2"/>
      <c r="E20" s="2"/>
      <c r="F20" s="2"/>
      <c r="G20" s="2"/>
      <c r="H20" s="2"/>
    </row>
    <row r="21" spans="2:8" x14ac:dyDescent="0.35">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zoomScale="90" zoomScaleNormal="90" workbookViewId="0">
      <selection sqref="A1:M294"/>
    </sheetView>
  </sheetViews>
  <sheetFormatPr defaultRowHeight="14.5" x14ac:dyDescent="0.35"/>
  <cols>
    <col min="1" max="1" width="17.81640625" bestFit="1" customWidth="1"/>
    <col min="2" max="2" width="18.81640625" bestFit="1" customWidth="1"/>
    <col min="3" max="3" width="9.453125" bestFit="1" customWidth="1"/>
    <col min="4" max="4" width="14.54296875" bestFit="1" customWidth="1"/>
    <col min="5" max="5" width="18" bestFit="1" customWidth="1"/>
    <col min="6" max="6" width="14.7265625" bestFit="1" customWidth="1"/>
    <col min="7" max="7" width="22" bestFit="1" customWidth="1"/>
    <col min="8" max="8" width="20.54296875" bestFit="1" customWidth="1"/>
    <col min="9" max="9" width="20.54296875" customWidth="1"/>
    <col min="10" max="10" width="16.7265625" bestFit="1" customWidth="1"/>
    <col min="11" max="11" width="21.26953125" bestFit="1" customWidth="1"/>
    <col min="12" max="12" width="12.7265625" bestFit="1" customWidth="1"/>
    <col min="13" max="13" width="10.54296875" bestFit="1" customWidth="1"/>
  </cols>
  <sheetData>
    <row r="1" spans="1:13" ht="29" x14ac:dyDescent="0.35">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x14ac:dyDescent="0.35">
      <c r="A2" s="8">
        <v>3231</v>
      </c>
      <c r="B2" s="8" t="s">
        <v>17</v>
      </c>
      <c r="C2" s="8" t="s">
        <v>18</v>
      </c>
      <c r="D2" s="10">
        <v>45292</v>
      </c>
      <c r="E2" s="8" t="s">
        <v>19</v>
      </c>
      <c r="F2" s="11">
        <v>15</v>
      </c>
      <c r="G2" s="8" t="s">
        <v>20</v>
      </c>
      <c r="H2" s="8" t="s">
        <v>19</v>
      </c>
      <c r="I2" s="11">
        <v>30</v>
      </c>
      <c r="J2" s="8" t="s">
        <v>19</v>
      </c>
      <c r="K2" s="11">
        <v>20</v>
      </c>
      <c r="L2" s="11">
        <v>5</v>
      </c>
      <c r="M2" s="11">
        <v>60</v>
      </c>
    </row>
    <row r="3" spans="1:13" ht="16.5" hidden="1" customHeight="1" x14ac:dyDescent="0.35">
      <c r="A3" s="8">
        <v>3232</v>
      </c>
      <c r="B3" s="8" t="s">
        <v>21</v>
      </c>
      <c r="C3" s="8" t="s">
        <v>22</v>
      </c>
      <c r="D3" s="10">
        <v>45306</v>
      </c>
      <c r="E3" s="8" t="s">
        <v>23</v>
      </c>
      <c r="F3" s="11">
        <v>5</v>
      </c>
      <c r="G3" s="8" t="s">
        <v>24</v>
      </c>
      <c r="H3" s="8" t="s">
        <v>23</v>
      </c>
      <c r="I3" s="11" t="s">
        <v>311</v>
      </c>
      <c r="J3" s="8" t="s">
        <v>23</v>
      </c>
      <c r="K3" s="11">
        <v>0</v>
      </c>
      <c r="L3" s="11">
        <v>0</v>
      </c>
      <c r="M3" s="11">
        <v>5</v>
      </c>
    </row>
    <row r="4" spans="1:13" ht="16.5" hidden="1" customHeight="1" x14ac:dyDescent="0.35">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x14ac:dyDescent="0.35">
      <c r="A5" s="8">
        <v>3234</v>
      </c>
      <c r="B5" s="8" t="s">
        <v>28</v>
      </c>
      <c r="C5" s="8" t="s">
        <v>18</v>
      </c>
      <c r="D5" s="10">
        <v>45342</v>
      </c>
      <c r="E5" s="8" t="s">
        <v>23</v>
      </c>
      <c r="F5" s="11">
        <v>15</v>
      </c>
      <c r="G5" s="8" t="s">
        <v>20</v>
      </c>
      <c r="H5" s="8" t="s">
        <v>19</v>
      </c>
      <c r="I5" s="11">
        <v>30</v>
      </c>
      <c r="J5" s="8" t="s">
        <v>19</v>
      </c>
      <c r="K5" s="11">
        <v>20</v>
      </c>
      <c r="L5" s="11">
        <v>3</v>
      </c>
      <c r="M5" s="11">
        <v>62</v>
      </c>
    </row>
    <row r="6" spans="1:13" ht="16.5" hidden="1" customHeight="1" x14ac:dyDescent="0.35">
      <c r="A6" s="8">
        <v>3235</v>
      </c>
      <c r="B6" s="8" t="s">
        <v>29</v>
      </c>
      <c r="C6" s="8" t="s">
        <v>22</v>
      </c>
      <c r="D6" s="10">
        <v>45356</v>
      </c>
      <c r="E6" s="8" t="s">
        <v>19</v>
      </c>
      <c r="F6" s="11">
        <v>5</v>
      </c>
      <c r="G6" s="8" t="s">
        <v>20</v>
      </c>
      <c r="H6" s="8" t="s">
        <v>23</v>
      </c>
      <c r="I6" s="11" t="s">
        <v>311</v>
      </c>
      <c r="J6" s="8" t="s">
        <v>23</v>
      </c>
      <c r="K6" s="11">
        <v>0</v>
      </c>
      <c r="L6" s="11">
        <v>1</v>
      </c>
      <c r="M6" s="11">
        <v>4</v>
      </c>
    </row>
    <row r="7" spans="1:13" ht="16.5" hidden="1" customHeight="1" x14ac:dyDescent="0.35">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x14ac:dyDescent="0.35">
      <c r="A8" s="8">
        <v>3237</v>
      </c>
      <c r="B8" s="8" t="s">
        <v>35</v>
      </c>
      <c r="C8" s="8" t="s">
        <v>18</v>
      </c>
      <c r="D8" s="10">
        <v>45354</v>
      </c>
      <c r="E8" s="8" t="s">
        <v>19</v>
      </c>
      <c r="F8" s="11">
        <v>15</v>
      </c>
      <c r="G8" s="8" t="s">
        <v>27</v>
      </c>
      <c r="H8" s="8" t="s">
        <v>19</v>
      </c>
      <c r="I8" s="11">
        <v>30</v>
      </c>
      <c r="J8" s="8" t="s">
        <v>19</v>
      </c>
      <c r="K8" s="11">
        <v>20</v>
      </c>
      <c r="L8" s="11">
        <v>10</v>
      </c>
      <c r="M8" s="11">
        <v>55</v>
      </c>
    </row>
    <row r="9" spans="1:13" ht="16.5" hidden="1" customHeight="1" x14ac:dyDescent="0.35">
      <c r="A9" s="8">
        <v>3238</v>
      </c>
      <c r="B9" s="8" t="s">
        <v>36</v>
      </c>
      <c r="C9" s="8" t="s">
        <v>22</v>
      </c>
      <c r="D9" s="10">
        <v>45355</v>
      </c>
      <c r="E9" s="8" t="s">
        <v>19</v>
      </c>
      <c r="F9" s="11">
        <v>5</v>
      </c>
      <c r="G9" s="8" t="s">
        <v>24</v>
      </c>
      <c r="H9" s="8" t="s">
        <v>23</v>
      </c>
      <c r="I9" s="11" t="s">
        <v>311</v>
      </c>
      <c r="J9" s="8" t="s">
        <v>23</v>
      </c>
      <c r="K9" s="11">
        <v>0</v>
      </c>
      <c r="L9" s="11">
        <v>0</v>
      </c>
      <c r="M9" s="11">
        <v>5</v>
      </c>
    </row>
    <row r="10" spans="1:13" ht="16.5" customHeight="1" x14ac:dyDescent="0.35">
      <c r="A10" s="8">
        <v>3239</v>
      </c>
      <c r="B10" s="8" t="s">
        <v>37</v>
      </c>
      <c r="C10" s="8" t="s">
        <v>18</v>
      </c>
      <c r="D10" s="10">
        <v>45356</v>
      </c>
      <c r="E10" s="8" t="s">
        <v>23</v>
      </c>
      <c r="F10" s="11">
        <v>15</v>
      </c>
      <c r="G10" s="8" t="s">
        <v>20</v>
      </c>
      <c r="H10" s="8" t="s">
        <v>19</v>
      </c>
      <c r="I10" s="11">
        <v>30</v>
      </c>
      <c r="J10" s="8" t="s">
        <v>19</v>
      </c>
      <c r="K10" s="11">
        <v>20</v>
      </c>
      <c r="L10" s="11">
        <v>5</v>
      </c>
      <c r="M10" s="11">
        <v>60</v>
      </c>
    </row>
    <row r="11" spans="1:13" ht="16.5" hidden="1" customHeight="1" x14ac:dyDescent="0.35">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hidden="1" customHeight="1" x14ac:dyDescent="0.35">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x14ac:dyDescent="0.35">
      <c r="A13" s="8">
        <v>3242</v>
      </c>
      <c r="B13" s="8" t="s">
        <v>40</v>
      </c>
      <c r="C13" s="8" t="s">
        <v>18</v>
      </c>
      <c r="D13" s="10">
        <v>45359</v>
      </c>
      <c r="E13" s="8" t="s">
        <v>19</v>
      </c>
      <c r="F13" s="11">
        <v>15</v>
      </c>
      <c r="G13" s="8" t="s">
        <v>24</v>
      </c>
      <c r="H13" s="8" t="s">
        <v>19</v>
      </c>
      <c r="I13" s="11">
        <v>30</v>
      </c>
      <c r="J13" s="8" t="s">
        <v>19</v>
      </c>
      <c r="K13" s="11">
        <v>20</v>
      </c>
      <c r="L13" s="11">
        <v>20</v>
      </c>
      <c r="M13" s="11">
        <v>45</v>
      </c>
    </row>
    <row r="14" spans="1:13" ht="16.5" hidden="1" customHeight="1" x14ac:dyDescent="0.35">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hidden="1" customHeight="1" x14ac:dyDescent="0.35">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x14ac:dyDescent="0.35">
      <c r="A16" s="8">
        <v>3245</v>
      </c>
      <c r="B16" s="8" t="s">
        <v>43</v>
      </c>
      <c r="C16" s="8" t="s">
        <v>18</v>
      </c>
      <c r="D16" s="10">
        <v>45362</v>
      </c>
      <c r="E16" s="8" t="s">
        <v>23</v>
      </c>
      <c r="F16" s="11">
        <v>15</v>
      </c>
      <c r="G16" s="8" t="s">
        <v>20</v>
      </c>
      <c r="H16" s="8" t="s">
        <v>19</v>
      </c>
      <c r="I16" s="11">
        <v>30</v>
      </c>
      <c r="J16" s="8" t="s">
        <v>19</v>
      </c>
      <c r="K16" s="11">
        <v>20</v>
      </c>
      <c r="L16" s="11">
        <v>8</v>
      </c>
      <c r="M16" s="11">
        <v>57</v>
      </c>
    </row>
    <row r="17" spans="1:13" ht="16.5" hidden="1" customHeight="1" x14ac:dyDescent="0.35">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hidden="1" customHeight="1" x14ac:dyDescent="0.35">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x14ac:dyDescent="0.35">
      <c r="A19" s="8">
        <v>3248</v>
      </c>
      <c r="B19" s="8" t="s">
        <v>46</v>
      </c>
      <c r="C19" s="8" t="s">
        <v>18</v>
      </c>
      <c r="D19" s="10">
        <v>45365</v>
      </c>
      <c r="E19" s="8" t="s">
        <v>19</v>
      </c>
      <c r="F19" s="11">
        <v>15</v>
      </c>
      <c r="G19" s="8" t="s">
        <v>27</v>
      </c>
      <c r="H19" s="8" t="s">
        <v>19</v>
      </c>
      <c r="I19" s="11">
        <v>30</v>
      </c>
      <c r="J19" s="8" t="s">
        <v>19</v>
      </c>
      <c r="K19" s="11">
        <v>20</v>
      </c>
      <c r="L19" s="11">
        <v>7</v>
      </c>
      <c r="M19" s="11">
        <v>58</v>
      </c>
    </row>
    <row r="20" spans="1:13" ht="16.5" hidden="1" customHeight="1" x14ac:dyDescent="0.35">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hidden="1" customHeight="1" x14ac:dyDescent="0.35">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x14ac:dyDescent="0.35">
      <c r="A22" s="8">
        <v>3251</v>
      </c>
      <c r="B22" s="8" t="s">
        <v>49</v>
      </c>
      <c r="C22" s="8" t="s">
        <v>18</v>
      </c>
      <c r="D22" s="10">
        <v>45368</v>
      </c>
      <c r="E22" s="8" t="s">
        <v>23</v>
      </c>
      <c r="F22" s="11">
        <v>15</v>
      </c>
      <c r="G22" s="8" t="s">
        <v>20</v>
      </c>
      <c r="H22" s="8" t="s">
        <v>19</v>
      </c>
      <c r="I22" s="11">
        <v>30</v>
      </c>
      <c r="J22" s="8" t="s">
        <v>19</v>
      </c>
      <c r="K22" s="11">
        <v>20</v>
      </c>
      <c r="L22" s="11">
        <v>3</v>
      </c>
      <c r="M22" s="11">
        <v>62</v>
      </c>
    </row>
    <row r="23" spans="1:13" ht="16.5" hidden="1" customHeight="1" x14ac:dyDescent="0.35">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hidden="1" customHeight="1" x14ac:dyDescent="0.35">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x14ac:dyDescent="0.35">
      <c r="A25" s="8">
        <v>3254</v>
      </c>
      <c r="B25" s="8" t="s">
        <v>52</v>
      </c>
      <c r="C25" s="8" t="s">
        <v>18</v>
      </c>
      <c r="D25" s="10">
        <v>45371</v>
      </c>
      <c r="E25" s="8" t="s">
        <v>19</v>
      </c>
      <c r="F25" s="11">
        <v>15</v>
      </c>
      <c r="G25" s="8" t="s">
        <v>24</v>
      </c>
      <c r="H25" s="8" t="s">
        <v>19</v>
      </c>
      <c r="I25" s="11">
        <v>30</v>
      </c>
      <c r="J25" s="8" t="s">
        <v>19</v>
      </c>
      <c r="K25" s="11">
        <v>20</v>
      </c>
      <c r="L25" s="11">
        <v>20</v>
      </c>
      <c r="M25" s="11">
        <v>45</v>
      </c>
    </row>
    <row r="26" spans="1:13" ht="16.5" hidden="1" customHeight="1" x14ac:dyDescent="0.35">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hidden="1" customHeight="1" x14ac:dyDescent="0.35">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x14ac:dyDescent="0.35">
      <c r="A28" s="8">
        <v>3257</v>
      </c>
      <c r="B28" s="8" t="s">
        <v>55</v>
      </c>
      <c r="C28" s="8" t="s">
        <v>18</v>
      </c>
      <c r="D28" s="10">
        <v>45374</v>
      </c>
      <c r="E28" s="8" t="s">
        <v>23</v>
      </c>
      <c r="F28" s="11">
        <v>15</v>
      </c>
      <c r="G28" s="8" t="s">
        <v>20</v>
      </c>
      <c r="H28" s="8" t="s">
        <v>19</v>
      </c>
      <c r="I28" s="11">
        <v>30</v>
      </c>
      <c r="J28" s="8" t="s">
        <v>19</v>
      </c>
      <c r="K28" s="11">
        <v>20</v>
      </c>
      <c r="L28" s="11">
        <v>5</v>
      </c>
      <c r="M28" s="11">
        <v>60</v>
      </c>
    </row>
    <row r="29" spans="1:13" ht="16.5" hidden="1" customHeight="1" x14ac:dyDescent="0.35">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hidden="1" customHeight="1" x14ac:dyDescent="0.35">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x14ac:dyDescent="0.35">
      <c r="A31" s="8">
        <v>3260</v>
      </c>
      <c r="B31" s="8" t="s">
        <v>58</v>
      </c>
      <c r="C31" s="8" t="s">
        <v>18</v>
      </c>
      <c r="D31" s="10">
        <v>45377</v>
      </c>
      <c r="E31" s="8" t="s">
        <v>19</v>
      </c>
      <c r="F31" s="11">
        <v>15</v>
      </c>
      <c r="G31" s="8" t="s">
        <v>27</v>
      </c>
      <c r="H31" s="8" t="s">
        <v>19</v>
      </c>
      <c r="I31" s="11">
        <v>30</v>
      </c>
      <c r="J31" s="8" t="s">
        <v>19</v>
      </c>
      <c r="K31" s="11">
        <v>20</v>
      </c>
      <c r="L31" s="11">
        <v>7</v>
      </c>
      <c r="M31" s="11">
        <v>58</v>
      </c>
    </row>
    <row r="32" spans="1:13" ht="16.5" hidden="1" customHeight="1" x14ac:dyDescent="0.35">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hidden="1" customHeight="1" x14ac:dyDescent="0.35">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x14ac:dyDescent="0.35">
      <c r="A34" s="8">
        <v>3263</v>
      </c>
      <c r="B34" s="8" t="s">
        <v>61</v>
      </c>
      <c r="C34" s="8" t="s">
        <v>18</v>
      </c>
      <c r="D34" s="10">
        <v>45380</v>
      </c>
      <c r="E34" s="8" t="s">
        <v>23</v>
      </c>
      <c r="F34" s="11">
        <v>15</v>
      </c>
      <c r="G34" s="8" t="s">
        <v>20</v>
      </c>
      <c r="H34" s="8" t="s">
        <v>19</v>
      </c>
      <c r="I34" s="11">
        <v>30</v>
      </c>
      <c r="J34" s="8" t="s">
        <v>19</v>
      </c>
      <c r="K34" s="11">
        <v>20</v>
      </c>
      <c r="L34" s="11">
        <v>3</v>
      </c>
      <c r="M34" s="11">
        <v>62</v>
      </c>
    </row>
    <row r="35" spans="1:13" ht="16.5" hidden="1" customHeight="1" x14ac:dyDescent="0.35">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hidden="1" customHeight="1" x14ac:dyDescent="0.35">
      <c r="A36" s="8">
        <v>3265</v>
      </c>
      <c r="B36" s="8" t="s">
        <v>63</v>
      </c>
      <c r="C36" s="8" t="s">
        <v>22</v>
      </c>
      <c r="D36" s="10">
        <v>45382</v>
      </c>
      <c r="E36" s="8" t="s">
        <v>23</v>
      </c>
      <c r="F36" s="11">
        <v>5</v>
      </c>
      <c r="G36" s="8" t="s">
        <v>20</v>
      </c>
      <c r="H36" s="8" t="s">
        <v>23</v>
      </c>
      <c r="I36" s="11" t="s">
        <v>311</v>
      </c>
      <c r="J36" s="8" t="s">
        <v>23</v>
      </c>
      <c r="K36" s="11">
        <v>0</v>
      </c>
      <c r="L36" s="11">
        <v>1</v>
      </c>
      <c r="M36" s="11">
        <v>4</v>
      </c>
    </row>
    <row r="37" spans="1:13" ht="16.5" hidden="1" customHeight="1" x14ac:dyDescent="0.35">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x14ac:dyDescent="0.35">
      <c r="A38" s="8">
        <v>3267</v>
      </c>
      <c r="B38" s="8" t="s">
        <v>65</v>
      </c>
      <c r="C38" s="8" t="s">
        <v>18</v>
      </c>
      <c r="D38" s="10">
        <v>45384</v>
      </c>
      <c r="E38" s="8" t="s">
        <v>23</v>
      </c>
      <c r="F38" s="11">
        <v>15</v>
      </c>
      <c r="G38" s="8" t="s">
        <v>27</v>
      </c>
      <c r="H38" s="8" t="s">
        <v>19</v>
      </c>
      <c r="I38" s="11">
        <v>30</v>
      </c>
      <c r="J38" s="8" t="s">
        <v>19</v>
      </c>
      <c r="K38" s="11">
        <v>20</v>
      </c>
      <c r="L38" s="11">
        <v>7</v>
      </c>
      <c r="M38" s="11">
        <v>58</v>
      </c>
    </row>
    <row r="39" spans="1:13" ht="16.5" hidden="1" customHeight="1" x14ac:dyDescent="0.35">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hidden="1" customHeight="1" x14ac:dyDescent="0.35">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x14ac:dyDescent="0.35">
      <c r="A41" s="8">
        <v>3270</v>
      </c>
      <c r="B41" s="8" t="s">
        <v>68</v>
      </c>
      <c r="C41" s="8" t="s">
        <v>18</v>
      </c>
      <c r="D41" s="10">
        <v>45387</v>
      </c>
      <c r="E41" s="8" t="s">
        <v>19</v>
      </c>
      <c r="F41" s="11">
        <v>15</v>
      </c>
      <c r="G41" s="8" t="s">
        <v>20</v>
      </c>
      <c r="H41" s="8" t="s">
        <v>19</v>
      </c>
      <c r="I41" s="11">
        <v>30</v>
      </c>
      <c r="J41" s="8" t="s">
        <v>19</v>
      </c>
      <c r="K41" s="11">
        <v>20</v>
      </c>
      <c r="L41" s="11">
        <v>15</v>
      </c>
      <c r="M41" s="11">
        <v>50</v>
      </c>
    </row>
    <row r="42" spans="1:13" ht="16.5" hidden="1" customHeight="1" x14ac:dyDescent="0.35">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hidden="1" customHeight="1" x14ac:dyDescent="0.35">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x14ac:dyDescent="0.35">
      <c r="A44" s="8">
        <v>3273</v>
      </c>
      <c r="B44" s="8" t="s">
        <v>71</v>
      </c>
      <c r="C44" s="8" t="s">
        <v>18</v>
      </c>
      <c r="D44" s="10">
        <v>45390</v>
      </c>
      <c r="E44" s="8" t="s">
        <v>23</v>
      </c>
      <c r="F44" s="11">
        <v>15</v>
      </c>
      <c r="G44" s="8" t="s">
        <v>27</v>
      </c>
      <c r="H44" s="8" t="s">
        <v>19</v>
      </c>
      <c r="I44" s="11">
        <v>30</v>
      </c>
      <c r="J44" s="8" t="s">
        <v>19</v>
      </c>
      <c r="K44" s="11">
        <v>20</v>
      </c>
      <c r="L44" s="11">
        <v>20</v>
      </c>
      <c r="M44" s="11">
        <v>45</v>
      </c>
    </row>
    <row r="45" spans="1:13" ht="16.5" hidden="1" customHeight="1" x14ac:dyDescent="0.35">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hidden="1" customHeight="1" x14ac:dyDescent="0.35">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x14ac:dyDescent="0.35">
      <c r="A47" s="8">
        <v>3276</v>
      </c>
      <c r="B47" s="8" t="s">
        <v>74</v>
      </c>
      <c r="C47" s="8" t="s">
        <v>18</v>
      </c>
      <c r="D47" s="10">
        <v>45393</v>
      </c>
      <c r="E47" s="8" t="s">
        <v>19</v>
      </c>
      <c r="F47" s="11">
        <v>15</v>
      </c>
      <c r="G47" s="8" t="s">
        <v>24</v>
      </c>
      <c r="H47" s="8" t="s">
        <v>19</v>
      </c>
      <c r="I47" s="11">
        <v>30</v>
      </c>
      <c r="J47" s="8" t="s">
        <v>19</v>
      </c>
      <c r="K47" s="11">
        <v>20</v>
      </c>
      <c r="L47" s="11">
        <v>5</v>
      </c>
      <c r="M47" s="11">
        <v>60</v>
      </c>
    </row>
    <row r="48" spans="1:13" ht="16.5" hidden="1" customHeight="1" x14ac:dyDescent="0.35">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hidden="1" customHeight="1" x14ac:dyDescent="0.35">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x14ac:dyDescent="0.35">
      <c r="A50" s="8">
        <v>3279</v>
      </c>
      <c r="B50" s="8" t="s">
        <v>77</v>
      </c>
      <c r="C50" s="8" t="s">
        <v>18</v>
      </c>
      <c r="D50" s="10">
        <v>45396</v>
      </c>
      <c r="E50" s="8" t="s">
        <v>23</v>
      </c>
      <c r="F50" s="11">
        <v>15</v>
      </c>
      <c r="G50" s="8" t="s">
        <v>20</v>
      </c>
      <c r="H50" s="8" t="s">
        <v>19</v>
      </c>
      <c r="I50" s="11">
        <v>30</v>
      </c>
      <c r="J50" s="8" t="s">
        <v>19</v>
      </c>
      <c r="K50" s="11">
        <v>20</v>
      </c>
      <c r="L50" s="11">
        <v>3</v>
      </c>
      <c r="M50" s="11">
        <v>62</v>
      </c>
    </row>
    <row r="51" spans="1:13" ht="16.5" hidden="1" customHeight="1" x14ac:dyDescent="0.35">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hidden="1" customHeight="1" x14ac:dyDescent="0.35">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x14ac:dyDescent="0.35">
      <c r="A53" s="8">
        <v>3282</v>
      </c>
      <c r="B53" s="8" t="s">
        <v>80</v>
      </c>
      <c r="C53" s="8" t="s">
        <v>18</v>
      </c>
      <c r="D53" s="10">
        <v>45399</v>
      </c>
      <c r="E53" s="8" t="s">
        <v>19</v>
      </c>
      <c r="F53" s="11">
        <v>15</v>
      </c>
      <c r="G53" s="8" t="s">
        <v>27</v>
      </c>
      <c r="H53" s="8" t="s">
        <v>19</v>
      </c>
      <c r="I53" s="11">
        <v>30</v>
      </c>
      <c r="J53" s="8" t="s">
        <v>19</v>
      </c>
      <c r="K53" s="11">
        <v>20</v>
      </c>
      <c r="L53" s="11">
        <v>7</v>
      </c>
      <c r="M53" s="11">
        <v>58</v>
      </c>
    </row>
    <row r="54" spans="1:13" ht="16.5" hidden="1" customHeight="1" x14ac:dyDescent="0.35">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hidden="1" customHeight="1" x14ac:dyDescent="0.35">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x14ac:dyDescent="0.35">
      <c r="A56" s="8">
        <v>3285</v>
      </c>
      <c r="B56" s="8" t="s">
        <v>83</v>
      </c>
      <c r="C56" s="8" t="s">
        <v>18</v>
      </c>
      <c r="D56" s="10">
        <v>45402</v>
      </c>
      <c r="E56" s="8" t="s">
        <v>23</v>
      </c>
      <c r="F56" s="11">
        <v>15</v>
      </c>
      <c r="G56" s="8" t="s">
        <v>20</v>
      </c>
      <c r="H56" s="8" t="s">
        <v>19</v>
      </c>
      <c r="I56" s="11">
        <v>30</v>
      </c>
      <c r="J56" s="8" t="s">
        <v>19</v>
      </c>
      <c r="K56" s="11">
        <v>20</v>
      </c>
      <c r="L56" s="11">
        <v>20</v>
      </c>
      <c r="M56" s="11">
        <v>45</v>
      </c>
    </row>
    <row r="57" spans="1:13" ht="16.5" hidden="1" customHeight="1" x14ac:dyDescent="0.35">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hidden="1" customHeight="1" x14ac:dyDescent="0.35">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x14ac:dyDescent="0.35">
      <c r="A59" s="8">
        <v>3288</v>
      </c>
      <c r="B59" s="8" t="s">
        <v>86</v>
      </c>
      <c r="C59" s="8" t="s">
        <v>18</v>
      </c>
      <c r="D59" s="10">
        <v>45405</v>
      </c>
      <c r="E59" s="8" t="s">
        <v>19</v>
      </c>
      <c r="F59" s="11">
        <v>15</v>
      </c>
      <c r="G59" s="8" t="s">
        <v>24</v>
      </c>
      <c r="H59" s="8" t="s">
        <v>19</v>
      </c>
      <c r="I59" s="11">
        <v>30</v>
      </c>
      <c r="J59" s="8" t="s">
        <v>19</v>
      </c>
      <c r="K59" s="11">
        <v>20</v>
      </c>
      <c r="L59" s="11">
        <v>3</v>
      </c>
      <c r="M59" s="11">
        <v>62</v>
      </c>
    </row>
    <row r="60" spans="1:13" ht="16.5" hidden="1" customHeight="1" x14ac:dyDescent="0.35">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hidden="1" customHeight="1" x14ac:dyDescent="0.35">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x14ac:dyDescent="0.35">
      <c r="A62" s="8">
        <v>3291</v>
      </c>
      <c r="B62" s="8" t="s">
        <v>89</v>
      </c>
      <c r="C62" s="8" t="s">
        <v>18</v>
      </c>
      <c r="D62" s="10">
        <v>45408</v>
      </c>
      <c r="E62" s="8" t="s">
        <v>23</v>
      </c>
      <c r="F62" s="11">
        <v>15</v>
      </c>
      <c r="G62" s="8" t="s">
        <v>20</v>
      </c>
      <c r="H62" s="8" t="s">
        <v>19</v>
      </c>
      <c r="I62" s="11">
        <v>30</v>
      </c>
      <c r="J62" s="8" t="s">
        <v>19</v>
      </c>
      <c r="K62" s="11">
        <v>20</v>
      </c>
      <c r="L62" s="11">
        <v>5</v>
      </c>
      <c r="M62" s="11">
        <v>60</v>
      </c>
    </row>
    <row r="63" spans="1:13" ht="16.5" hidden="1" customHeight="1" x14ac:dyDescent="0.35">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hidden="1" customHeight="1" x14ac:dyDescent="0.35">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x14ac:dyDescent="0.35">
      <c r="A65" s="8">
        <v>3294</v>
      </c>
      <c r="B65" s="8" t="s">
        <v>92</v>
      </c>
      <c r="C65" s="8" t="s">
        <v>18</v>
      </c>
      <c r="D65" s="10">
        <v>45411</v>
      </c>
      <c r="E65" s="8" t="s">
        <v>19</v>
      </c>
      <c r="F65" s="11">
        <v>15</v>
      </c>
      <c r="G65" s="8" t="s">
        <v>27</v>
      </c>
      <c r="H65" s="8" t="s">
        <v>19</v>
      </c>
      <c r="I65" s="11">
        <v>30</v>
      </c>
      <c r="J65" s="8" t="s">
        <v>19</v>
      </c>
      <c r="K65" s="11">
        <v>20</v>
      </c>
      <c r="L65" s="11">
        <v>20</v>
      </c>
      <c r="M65" s="11">
        <v>45</v>
      </c>
    </row>
    <row r="66" spans="1:13" ht="16.5" hidden="1" customHeight="1" x14ac:dyDescent="0.35">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hidden="1" customHeight="1" x14ac:dyDescent="0.35">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x14ac:dyDescent="0.35">
      <c r="A68" s="8">
        <v>3297</v>
      </c>
      <c r="B68" s="8" t="s">
        <v>95</v>
      </c>
      <c r="C68" s="8" t="s">
        <v>18</v>
      </c>
      <c r="D68" s="10">
        <v>45414</v>
      </c>
      <c r="E68" s="8" t="s">
        <v>19</v>
      </c>
      <c r="F68" s="11">
        <v>15</v>
      </c>
      <c r="G68" s="8" t="s">
        <v>27</v>
      </c>
      <c r="H68" s="8" t="s">
        <v>19</v>
      </c>
      <c r="I68" s="11">
        <v>30</v>
      </c>
      <c r="J68" s="8" t="s">
        <v>19</v>
      </c>
      <c r="K68" s="11">
        <v>20</v>
      </c>
      <c r="L68" s="11">
        <v>7</v>
      </c>
      <c r="M68" s="11">
        <v>58</v>
      </c>
    </row>
    <row r="69" spans="1:13" ht="16.5" hidden="1" customHeight="1" x14ac:dyDescent="0.35">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hidden="1" customHeight="1" x14ac:dyDescent="0.35">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x14ac:dyDescent="0.35">
      <c r="A71" s="8">
        <v>3300</v>
      </c>
      <c r="B71" s="8" t="s">
        <v>98</v>
      </c>
      <c r="C71" s="8" t="s">
        <v>18</v>
      </c>
      <c r="D71" s="10">
        <v>45417</v>
      </c>
      <c r="E71" s="8" t="s">
        <v>23</v>
      </c>
      <c r="F71" s="11">
        <v>15</v>
      </c>
      <c r="G71" s="8" t="s">
        <v>20</v>
      </c>
      <c r="H71" s="8" t="s">
        <v>19</v>
      </c>
      <c r="I71" s="11">
        <v>30</v>
      </c>
      <c r="J71" s="8" t="s">
        <v>19</v>
      </c>
      <c r="K71" s="11">
        <v>20</v>
      </c>
      <c r="L71" s="11">
        <v>15</v>
      </c>
      <c r="M71" s="11">
        <v>50</v>
      </c>
    </row>
    <row r="72" spans="1:13" ht="16.5" hidden="1" customHeight="1" x14ac:dyDescent="0.35">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hidden="1" customHeight="1" x14ac:dyDescent="0.35">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x14ac:dyDescent="0.35">
      <c r="A74" s="8">
        <v>3303</v>
      </c>
      <c r="B74" s="8" t="s">
        <v>101</v>
      </c>
      <c r="C74" s="8" t="s">
        <v>18</v>
      </c>
      <c r="D74" s="10">
        <v>45420</v>
      </c>
      <c r="E74" s="8" t="s">
        <v>19</v>
      </c>
      <c r="F74" s="11">
        <v>15</v>
      </c>
      <c r="G74" s="8" t="s">
        <v>27</v>
      </c>
      <c r="H74" s="8" t="s">
        <v>19</v>
      </c>
      <c r="I74" s="11">
        <v>30</v>
      </c>
      <c r="J74" s="8" t="s">
        <v>19</v>
      </c>
      <c r="K74" s="11">
        <v>20</v>
      </c>
      <c r="L74" s="11">
        <v>20</v>
      </c>
      <c r="M74" s="11">
        <v>45</v>
      </c>
    </row>
    <row r="75" spans="1:13" ht="16.5" hidden="1" customHeight="1" x14ac:dyDescent="0.35">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hidden="1" customHeight="1" x14ac:dyDescent="0.35">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x14ac:dyDescent="0.35">
      <c r="A77" s="8">
        <v>3306</v>
      </c>
      <c r="B77" s="8" t="s">
        <v>104</v>
      </c>
      <c r="C77" s="8" t="s">
        <v>18</v>
      </c>
      <c r="D77" s="10">
        <v>45423</v>
      </c>
      <c r="E77" s="8" t="s">
        <v>23</v>
      </c>
      <c r="F77" s="11">
        <v>15</v>
      </c>
      <c r="G77" s="8" t="s">
        <v>24</v>
      </c>
      <c r="H77" s="8" t="s">
        <v>19</v>
      </c>
      <c r="I77" s="11">
        <v>30</v>
      </c>
      <c r="J77" s="8" t="s">
        <v>19</v>
      </c>
      <c r="K77" s="11">
        <v>20</v>
      </c>
      <c r="L77" s="11">
        <v>5</v>
      </c>
      <c r="M77" s="11">
        <v>60</v>
      </c>
    </row>
    <row r="78" spans="1:13" ht="16.5" hidden="1" customHeight="1" x14ac:dyDescent="0.35">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hidden="1" customHeight="1" x14ac:dyDescent="0.35">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x14ac:dyDescent="0.35">
      <c r="A80" s="8">
        <v>3309</v>
      </c>
      <c r="B80" s="8" t="s">
        <v>107</v>
      </c>
      <c r="C80" s="8" t="s">
        <v>18</v>
      </c>
      <c r="D80" s="10">
        <v>45426</v>
      </c>
      <c r="E80" s="8" t="s">
        <v>19</v>
      </c>
      <c r="F80" s="11">
        <v>15</v>
      </c>
      <c r="G80" s="8" t="s">
        <v>20</v>
      </c>
      <c r="H80" s="8" t="s">
        <v>19</v>
      </c>
      <c r="I80" s="11">
        <v>30</v>
      </c>
      <c r="J80" s="8" t="s">
        <v>19</v>
      </c>
      <c r="K80" s="11">
        <v>20</v>
      </c>
      <c r="L80" s="11">
        <v>3</v>
      </c>
      <c r="M80" s="11">
        <v>62</v>
      </c>
    </row>
    <row r="81" spans="1:13" ht="16.5" hidden="1" customHeight="1" x14ac:dyDescent="0.35">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hidden="1" customHeight="1" x14ac:dyDescent="0.35">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x14ac:dyDescent="0.35">
      <c r="A83" s="8">
        <v>3312</v>
      </c>
      <c r="B83" s="8" t="s">
        <v>110</v>
      </c>
      <c r="C83" s="8" t="s">
        <v>18</v>
      </c>
      <c r="D83" s="10">
        <v>45429</v>
      </c>
      <c r="E83" s="8" t="s">
        <v>23</v>
      </c>
      <c r="F83" s="11">
        <v>15</v>
      </c>
      <c r="G83" s="8" t="s">
        <v>27</v>
      </c>
      <c r="H83" s="8" t="s">
        <v>19</v>
      </c>
      <c r="I83" s="11">
        <v>30</v>
      </c>
      <c r="J83" s="8" t="s">
        <v>19</v>
      </c>
      <c r="K83" s="11">
        <v>20</v>
      </c>
      <c r="L83" s="11">
        <v>7</v>
      </c>
      <c r="M83" s="11">
        <v>58</v>
      </c>
    </row>
    <row r="84" spans="1:13" ht="16.5" hidden="1" customHeight="1" x14ac:dyDescent="0.35">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hidden="1" customHeight="1" x14ac:dyDescent="0.35">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x14ac:dyDescent="0.35">
      <c r="A86" s="8">
        <v>3315</v>
      </c>
      <c r="B86" s="8" t="s">
        <v>113</v>
      </c>
      <c r="C86" s="8" t="s">
        <v>18</v>
      </c>
      <c r="D86" s="10">
        <v>45432</v>
      </c>
      <c r="E86" s="8" t="s">
        <v>19</v>
      </c>
      <c r="F86" s="11">
        <v>15</v>
      </c>
      <c r="G86" s="8" t="s">
        <v>20</v>
      </c>
      <c r="H86" s="8" t="s">
        <v>19</v>
      </c>
      <c r="I86" s="11">
        <v>30</v>
      </c>
      <c r="J86" s="8" t="s">
        <v>19</v>
      </c>
      <c r="K86" s="11">
        <v>20</v>
      </c>
      <c r="L86" s="11">
        <v>20</v>
      </c>
      <c r="M86" s="11">
        <v>45</v>
      </c>
    </row>
    <row r="87" spans="1:13" ht="16.5" hidden="1" customHeight="1" x14ac:dyDescent="0.35">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hidden="1" customHeight="1" x14ac:dyDescent="0.35">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x14ac:dyDescent="0.35">
      <c r="A89" s="8">
        <v>3318</v>
      </c>
      <c r="B89" s="8" t="s">
        <v>116</v>
      </c>
      <c r="C89" s="8" t="s">
        <v>18</v>
      </c>
      <c r="D89" s="10">
        <v>45435</v>
      </c>
      <c r="E89" s="8" t="s">
        <v>23</v>
      </c>
      <c r="F89" s="11">
        <v>15</v>
      </c>
      <c r="G89" s="8" t="s">
        <v>24</v>
      </c>
      <c r="H89" s="8" t="s">
        <v>19</v>
      </c>
      <c r="I89" s="11">
        <v>30</v>
      </c>
      <c r="J89" s="8" t="s">
        <v>19</v>
      </c>
      <c r="K89" s="11">
        <v>20</v>
      </c>
      <c r="L89" s="11">
        <v>3</v>
      </c>
      <c r="M89" s="11">
        <v>62</v>
      </c>
    </row>
    <row r="90" spans="1:13" ht="16.5" hidden="1" customHeight="1" x14ac:dyDescent="0.35">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hidden="1" customHeight="1" x14ac:dyDescent="0.35">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x14ac:dyDescent="0.35">
      <c r="A92" s="8">
        <v>3321</v>
      </c>
      <c r="B92" s="8" t="s">
        <v>119</v>
      </c>
      <c r="C92" s="8" t="s">
        <v>18</v>
      </c>
      <c r="D92" s="10">
        <v>45438</v>
      </c>
      <c r="E92" s="8" t="s">
        <v>19</v>
      </c>
      <c r="F92" s="11">
        <v>15</v>
      </c>
      <c r="G92" s="8" t="s">
        <v>20</v>
      </c>
      <c r="H92" s="8" t="s">
        <v>19</v>
      </c>
      <c r="I92" s="11">
        <v>30</v>
      </c>
      <c r="J92" s="8" t="s">
        <v>19</v>
      </c>
      <c r="K92" s="11">
        <v>20</v>
      </c>
      <c r="L92" s="11">
        <v>5</v>
      </c>
      <c r="M92" s="11">
        <v>60</v>
      </c>
    </row>
    <row r="93" spans="1:13" ht="16.5" hidden="1" customHeight="1" x14ac:dyDescent="0.35">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hidden="1" customHeight="1" x14ac:dyDescent="0.35">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x14ac:dyDescent="0.35">
      <c r="A95" s="8">
        <v>3324</v>
      </c>
      <c r="B95" s="8" t="s">
        <v>122</v>
      </c>
      <c r="C95" s="8" t="s">
        <v>18</v>
      </c>
      <c r="D95" s="10">
        <v>45441</v>
      </c>
      <c r="E95" s="8" t="s">
        <v>23</v>
      </c>
      <c r="F95" s="11">
        <v>15</v>
      </c>
      <c r="G95" s="8" t="s">
        <v>27</v>
      </c>
      <c r="H95" s="8" t="s">
        <v>19</v>
      </c>
      <c r="I95" s="11">
        <v>30</v>
      </c>
      <c r="J95" s="8" t="s">
        <v>19</v>
      </c>
      <c r="K95" s="11">
        <v>20</v>
      </c>
      <c r="L95" s="11">
        <v>20</v>
      </c>
      <c r="M95" s="11">
        <v>45</v>
      </c>
    </row>
    <row r="96" spans="1:13" ht="16.5" hidden="1" customHeight="1" x14ac:dyDescent="0.35">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hidden="1" customHeight="1" x14ac:dyDescent="0.35">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x14ac:dyDescent="0.35">
      <c r="A98" s="8">
        <v>3327</v>
      </c>
      <c r="B98" s="8" t="s">
        <v>125</v>
      </c>
      <c r="C98" s="8" t="s">
        <v>18</v>
      </c>
      <c r="D98" s="10">
        <v>45444</v>
      </c>
      <c r="E98" s="8" t="s">
        <v>19</v>
      </c>
      <c r="F98" s="11">
        <v>15</v>
      </c>
      <c r="G98" s="8" t="s">
        <v>20</v>
      </c>
      <c r="H98" s="8" t="s">
        <v>19</v>
      </c>
      <c r="I98" s="11">
        <v>30</v>
      </c>
      <c r="J98" s="8" t="s">
        <v>19</v>
      </c>
      <c r="K98" s="11">
        <v>20</v>
      </c>
      <c r="L98" s="11">
        <v>7</v>
      </c>
      <c r="M98" s="11">
        <v>58</v>
      </c>
    </row>
    <row r="99" spans="1:13" ht="16.5" hidden="1" customHeight="1" x14ac:dyDescent="0.35">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hidden="1" customHeight="1" x14ac:dyDescent="0.35">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x14ac:dyDescent="0.35">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hidden="1" customHeight="1" x14ac:dyDescent="0.35">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hidden="1" customHeight="1" x14ac:dyDescent="0.35">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x14ac:dyDescent="0.35">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hidden="1" customHeight="1" x14ac:dyDescent="0.35">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hidden="1" customHeight="1" x14ac:dyDescent="0.35">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hidden="1" customHeight="1" x14ac:dyDescent="0.35">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x14ac:dyDescent="0.35">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hidden="1" customHeight="1" x14ac:dyDescent="0.35">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hidden="1" customHeight="1" x14ac:dyDescent="0.35">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x14ac:dyDescent="0.35">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hidden="1" customHeight="1" x14ac:dyDescent="0.35">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hidden="1" customHeight="1" x14ac:dyDescent="0.35">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x14ac:dyDescent="0.35">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hidden="1" customHeight="1" x14ac:dyDescent="0.35">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hidden="1" customHeight="1" x14ac:dyDescent="0.35">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x14ac:dyDescent="0.35">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hidden="1" customHeight="1" x14ac:dyDescent="0.35">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hidden="1" customHeight="1" x14ac:dyDescent="0.35">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x14ac:dyDescent="0.35">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hidden="1" customHeight="1" x14ac:dyDescent="0.35">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hidden="1" customHeight="1" x14ac:dyDescent="0.35">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x14ac:dyDescent="0.35">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hidden="1" customHeight="1" x14ac:dyDescent="0.35">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hidden="1" customHeight="1" x14ac:dyDescent="0.35">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x14ac:dyDescent="0.35">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hidden="1" customHeight="1" x14ac:dyDescent="0.35">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hidden="1" customHeight="1" x14ac:dyDescent="0.35">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x14ac:dyDescent="0.35">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hidden="1" customHeight="1" x14ac:dyDescent="0.35">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hidden="1" customHeight="1" x14ac:dyDescent="0.35">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x14ac:dyDescent="0.35">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hidden="1" customHeight="1" x14ac:dyDescent="0.35">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hidden="1" customHeight="1" x14ac:dyDescent="0.35">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x14ac:dyDescent="0.35">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hidden="1" customHeight="1" x14ac:dyDescent="0.35">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hidden="1" customHeight="1" x14ac:dyDescent="0.35">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x14ac:dyDescent="0.35">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hidden="1" customHeight="1" x14ac:dyDescent="0.35">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hidden="1" customHeight="1" x14ac:dyDescent="0.35">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x14ac:dyDescent="0.35">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hidden="1" customHeight="1" x14ac:dyDescent="0.35">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hidden="1" customHeight="1" x14ac:dyDescent="0.35">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x14ac:dyDescent="0.35">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hidden="1" customHeight="1" x14ac:dyDescent="0.35">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hidden="1" customHeight="1" x14ac:dyDescent="0.35">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x14ac:dyDescent="0.35">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hidden="1" customHeight="1" x14ac:dyDescent="0.35">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hidden="1" customHeight="1" x14ac:dyDescent="0.35">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x14ac:dyDescent="0.35">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hidden="1" customHeight="1" x14ac:dyDescent="0.35">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hidden="1" customHeight="1" x14ac:dyDescent="0.35">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x14ac:dyDescent="0.35">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hidden="1" customHeight="1" x14ac:dyDescent="0.35">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hidden="1" customHeight="1" x14ac:dyDescent="0.35">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x14ac:dyDescent="0.35">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hidden="1" customHeight="1" x14ac:dyDescent="0.35">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hidden="1" customHeight="1" x14ac:dyDescent="0.35">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x14ac:dyDescent="0.35">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hidden="1" customHeight="1" x14ac:dyDescent="0.35">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hidden="1" customHeight="1" x14ac:dyDescent="0.35">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x14ac:dyDescent="0.35">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hidden="1" customHeight="1" x14ac:dyDescent="0.35">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hidden="1" customHeight="1" x14ac:dyDescent="0.35">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x14ac:dyDescent="0.35">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hidden="1" customHeight="1" x14ac:dyDescent="0.35">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hidden="1" customHeight="1" x14ac:dyDescent="0.35">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x14ac:dyDescent="0.35">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hidden="1" customHeight="1" x14ac:dyDescent="0.35">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hidden="1" customHeight="1" x14ac:dyDescent="0.35">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x14ac:dyDescent="0.35">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hidden="1" customHeight="1" x14ac:dyDescent="0.35">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hidden="1" customHeight="1" x14ac:dyDescent="0.35">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x14ac:dyDescent="0.35">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hidden="1" customHeight="1" x14ac:dyDescent="0.35">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hidden="1" customHeight="1" x14ac:dyDescent="0.35">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hidden="1" customHeight="1" x14ac:dyDescent="0.35">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x14ac:dyDescent="0.35">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hidden="1" customHeight="1" x14ac:dyDescent="0.35">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hidden="1" customHeight="1" x14ac:dyDescent="0.35">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x14ac:dyDescent="0.35">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hidden="1" customHeight="1" x14ac:dyDescent="0.35">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hidden="1" customHeight="1" x14ac:dyDescent="0.35">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x14ac:dyDescent="0.35">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hidden="1" customHeight="1" x14ac:dyDescent="0.35">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hidden="1" customHeight="1" x14ac:dyDescent="0.35">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x14ac:dyDescent="0.35">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hidden="1" customHeight="1" x14ac:dyDescent="0.35">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hidden="1" customHeight="1" x14ac:dyDescent="0.35">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x14ac:dyDescent="0.35">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hidden="1" customHeight="1" x14ac:dyDescent="0.35">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hidden="1" customHeight="1" x14ac:dyDescent="0.35">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x14ac:dyDescent="0.35">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hidden="1" customHeight="1" x14ac:dyDescent="0.35">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hidden="1" customHeight="1" x14ac:dyDescent="0.35">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x14ac:dyDescent="0.35">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hidden="1" customHeight="1" x14ac:dyDescent="0.35">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hidden="1" customHeight="1" x14ac:dyDescent="0.35">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x14ac:dyDescent="0.35">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hidden="1" customHeight="1" x14ac:dyDescent="0.35">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hidden="1" customHeight="1" x14ac:dyDescent="0.35">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x14ac:dyDescent="0.35">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hidden="1" customHeight="1" x14ac:dyDescent="0.35">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hidden="1" customHeight="1" x14ac:dyDescent="0.35">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x14ac:dyDescent="0.35">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hidden="1" customHeight="1" x14ac:dyDescent="0.35">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hidden="1" customHeight="1" x14ac:dyDescent="0.35">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x14ac:dyDescent="0.35">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hidden="1" customHeight="1" x14ac:dyDescent="0.35">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hidden="1" customHeight="1" x14ac:dyDescent="0.35">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x14ac:dyDescent="0.35">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hidden="1" customHeight="1" x14ac:dyDescent="0.35">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hidden="1" customHeight="1" x14ac:dyDescent="0.35">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x14ac:dyDescent="0.35">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hidden="1" customHeight="1" x14ac:dyDescent="0.35">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hidden="1" customHeight="1" x14ac:dyDescent="0.35">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x14ac:dyDescent="0.35">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hidden="1" customHeight="1" x14ac:dyDescent="0.35">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hidden="1" customHeight="1" x14ac:dyDescent="0.35">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x14ac:dyDescent="0.35">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hidden="1" customHeight="1" x14ac:dyDescent="0.35">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hidden="1" customHeight="1" x14ac:dyDescent="0.35">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x14ac:dyDescent="0.35">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hidden="1" customHeight="1" x14ac:dyDescent="0.35">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hidden="1" customHeight="1" x14ac:dyDescent="0.35">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x14ac:dyDescent="0.35">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hidden="1" customHeight="1" x14ac:dyDescent="0.35">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hidden="1" customHeight="1" x14ac:dyDescent="0.35">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x14ac:dyDescent="0.35">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hidden="1" customHeight="1" x14ac:dyDescent="0.35">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hidden="1" customHeight="1" x14ac:dyDescent="0.35">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x14ac:dyDescent="0.35">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hidden="1" customHeight="1" x14ac:dyDescent="0.35">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hidden="1" customHeight="1" x14ac:dyDescent="0.35">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x14ac:dyDescent="0.35">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hidden="1" customHeight="1" x14ac:dyDescent="0.35">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hidden="1" customHeight="1" x14ac:dyDescent="0.35">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x14ac:dyDescent="0.35">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hidden="1" customHeight="1" x14ac:dyDescent="0.35">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hidden="1" customHeight="1" x14ac:dyDescent="0.35">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x14ac:dyDescent="0.35">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hidden="1" customHeight="1" x14ac:dyDescent="0.35">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hidden="1" customHeight="1" x14ac:dyDescent="0.35">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x14ac:dyDescent="0.35">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hidden="1" customHeight="1" x14ac:dyDescent="0.35">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hidden="1" customHeight="1" x14ac:dyDescent="0.35">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x14ac:dyDescent="0.35">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hidden="1" customHeight="1" x14ac:dyDescent="0.35">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hidden="1" customHeight="1" x14ac:dyDescent="0.35">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x14ac:dyDescent="0.35">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hidden="1" customHeight="1" x14ac:dyDescent="0.35">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hidden="1" customHeight="1" x14ac:dyDescent="0.35">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x14ac:dyDescent="0.35">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hidden="1" customHeight="1" x14ac:dyDescent="0.35">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hidden="1" customHeight="1" x14ac:dyDescent="0.35">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x14ac:dyDescent="0.35">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hidden="1" customHeight="1" x14ac:dyDescent="0.35">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x14ac:dyDescent="0.35">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hidden="1" customHeight="1" x14ac:dyDescent="0.35">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hidden="1" customHeight="1" x14ac:dyDescent="0.35">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x14ac:dyDescent="0.35">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hidden="1" customHeight="1" x14ac:dyDescent="0.35">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hidden="1" customHeight="1" x14ac:dyDescent="0.35">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x14ac:dyDescent="0.35">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hidden="1" customHeight="1" x14ac:dyDescent="0.35">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hidden="1" customHeight="1" x14ac:dyDescent="0.35">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x14ac:dyDescent="0.35">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hidden="1" customHeight="1" x14ac:dyDescent="0.35">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hidden="1" customHeight="1" x14ac:dyDescent="0.35">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x14ac:dyDescent="0.35">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hidden="1" customHeight="1" x14ac:dyDescent="0.35">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hidden="1" customHeight="1" x14ac:dyDescent="0.35">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x14ac:dyDescent="0.35">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hidden="1" customHeight="1" x14ac:dyDescent="0.35">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hidden="1" customHeight="1" x14ac:dyDescent="0.35">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x14ac:dyDescent="0.35">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hidden="1" customHeight="1" x14ac:dyDescent="0.35">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hidden="1" customHeight="1" x14ac:dyDescent="0.35">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x14ac:dyDescent="0.35">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hidden="1" customHeight="1" x14ac:dyDescent="0.35">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hidden="1" customHeight="1" x14ac:dyDescent="0.35">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x14ac:dyDescent="0.35">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hidden="1" customHeight="1" x14ac:dyDescent="0.35">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hidden="1" customHeight="1" x14ac:dyDescent="0.35">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x14ac:dyDescent="0.35">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hidden="1" customHeight="1" x14ac:dyDescent="0.35">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hidden="1" customHeight="1" x14ac:dyDescent="0.35">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x14ac:dyDescent="0.35">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hidden="1" customHeight="1" x14ac:dyDescent="0.35">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hidden="1" customHeight="1" x14ac:dyDescent="0.35">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x14ac:dyDescent="0.35">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hidden="1" customHeight="1" x14ac:dyDescent="0.35">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hidden="1" customHeight="1" x14ac:dyDescent="0.35">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x14ac:dyDescent="0.35">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hidden="1" customHeight="1" x14ac:dyDescent="0.35">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hidden="1" customHeight="1" x14ac:dyDescent="0.35">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C5:F29"/>
  <sheetViews>
    <sheetView showGridLines="0" topLeftCell="A13" workbookViewId="0">
      <selection activeCell="F29" sqref="F29"/>
    </sheetView>
  </sheetViews>
  <sheetFormatPr defaultRowHeight="14.5" x14ac:dyDescent="0.35"/>
  <cols>
    <col min="1" max="1" width="2.90625" customWidth="1"/>
    <col min="2" max="2" width="2.08984375" customWidth="1"/>
    <col min="3" max="3" width="15.08984375" bestFit="1" customWidth="1"/>
    <col min="4" max="4" width="30.81640625" bestFit="1" customWidth="1"/>
    <col min="5" max="5" width="6.26953125" customWidth="1"/>
    <col min="6" max="6" width="19.1796875" bestFit="1" customWidth="1"/>
    <col min="7" max="7" width="27.7265625" bestFit="1" customWidth="1"/>
    <col min="8" max="8" width="5.453125" customWidth="1"/>
    <col min="9" max="9" width="21.1796875" bestFit="1" customWidth="1"/>
    <col min="10" max="11" width="35.1796875" bestFit="1" customWidth="1"/>
    <col min="12" max="15" width="9.7265625" bestFit="1" customWidth="1"/>
    <col min="16" max="16" width="15.54296875" bestFit="1" customWidth="1"/>
    <col min="17" max="17" width="12.1796875" bestFit="1" customWidth="1"/>
  </cols>
  <sheetData>
    <row r="5" spans="3:4" x14ac:dyDescent="0.35">
      <c r="C5" s="12" t="s">
        <v>16</v>
      </c>
      <c r="D5" t="s">
        <v>27</v>
      </c>
    </row>
    <row r="7" spans="3:4" x14ac:dyDescent="0.35">
      <c r="C7" s="12" t="s">
        <v>313</v>
      </c>
      <c r="D7" t="s">
        <v>315</v>
      </c>
    </row>
    <row r="8" spans="3:4" x14ac:dyDescent="0.35">
      <c r="C8" s="13" t="s">
        <v>23</v>
      </c>
      <c r="D8" s="14">
        <v>806</v>
      </c>
    </row>
    <row r="9" spans="3:4" x14ac:dyDescent="0.35">
      <c r="C9" s="13" t="s">
        <v>19</v>
      </c>
      <c r="D9" s="14">
        <v>1502</v>
      </c>
    </row>
    <row r="10" spans="3:4" x14ac:dyDescent="0.35">
      <c r="C10" s="13" t="s">
        <v>314</v>
      </c>
      <c r="D10" s="14">
        <v>2308</v>
      </c>
    </row>
    <row r="14" spans="3:4" x14ac:dyDescent="0.35">
      <c r="C14" s="12" t="s">
        <v>16</v>
      </c>
      <c r="D14" t="s">
        <v>27</v>
      </c>
    </row>
    <row r="16" spans="3:4" x14ac:dyDescent="0.35">
      <c r="C16" s="12" t="s">
        <v>313</v>
      </c>
      <c r="D16" t="s">
        <v>317</v>
      </c>
    </row>
    <row r="17" spans="3:6" x14ac:dyDescent="0.35">
      <c r="C17" s="13" t="s">
        <v>22</v>
      </c>
      <c r="D17">
        <v>0</v>
      </c>
    </row>
    <row r="18" spans="3:6" x14ac:dyDescent="0.35">
      <c r="C18" s="13" t="s">
        <v>26</v>
      </c>
      <c r="D18">
        <v>0</v>
      </c>
    </row>
    <row r="19" spans="3:6" x14ac:dyDescent="0.35">
      <c r="C19" s="13" t="s">
        <v>18</v>
      </c>
      <c r="D19">
        <v>990</v>
      </c>
    </row>
    <row r="20" spans="3:6" x14ac:dyDescent="0.35">
      <c r="C20" s="13" t="s">
        <v>314</v>
      </c>
      <c r="D20">
        <v>990</v>
      </c>
      <c r="F20" s="16">
        <f>GETPIVOTDATA("EA Play Season Pass
Price",$C$16)</f>
        <v>990</v>
      </c>
    </row>
    <row r="23" spans="3:6" x14ac:dyDescent="0.35">
      <c r="C23" s="12" t="s">
        <v>16</v>
      </c>
      <c r="D23" t="s">
        <v>27</v>
      </c>
    </row>
    <row r="25" spans="3:6" x14ac:dyDescent="0.35">
      <c r="C25" s="12" t="s">
        <v>313</v>
      </c>
      <c r="D25" t="s">
        <v>318</v>
      </c>
    </row>
    <row r="26" spans="3:6" x14ac:dyDescent="0.35">
      <c r="C26" s="13" t="s">
        <v>22</v>
      </c>
      <c r="D26" s="14">
        <v>0</v>
      </c>
    </row>
    <row r="27" spans="3:6" x14ac:dyDescent="0.35">
      <c r="C27" s="13" t="s">
        <v>26</v>
      </c>
      <c r="D27" s="14">
        <v>480</v>
      </c>
    </row>
    <row r="28" spans="3:6" x14ac:dyDescent="0.35">
      <c r="C28" s="13" t="s">
        <v>18</v>
      </c>
      <c r="D28" s="14">
        <v>660</v>
      </c>
    </row>
    <row r="29" spans="3:6" x14ac:dyDescent="0.35">
      <c r="C29" s="13" t="s">
        <v>314</v>
      </c>
      <c r="D29" s="14">
        <v>1140</v>
      </c>
      <c r="F29" s="16">
        <f>GETPIVOTDATA("Minecraft Season Pass Price",$C$25)</f>
        <v>1140</v>
      </c>
    </row>
  </sheetData>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Q15"/>
  <sheetViews>
    <sheetView showGridLines="0" tabSelected="1" topLeftCell="A2" zoomScaleNormal="100" workbookViewId="0">
      <selection activeCell="C7" sqref="C7"/>
    </sheetView>
  </sheetViews>
  <sheetFormatPr defaultRowHeight="14.5" x14ac:dyDescent="0.35"/>
  <cols>
    <col min="1" max="1" width="32.36328125" style="5" customWidth="1"/>
    <col min="2" max="2" width="3.54296875" style="7" customWidth="1"/>
    <col min="3" max="11" width="8.7265625" style="7"/>
    <col min="12" max="12" width="6.54296875" style="7" customWidth="1"/>
    <col min="13" max="16384" width="8.7265625" style="7"/>
  </cols>
  <sheetData>
    <row r="1" spans="1:17" customFormat="1" x14ac:dyDescent="0.35">
      <c r="A1" s="5"/>
    </row>
    <row r="2" spans="1:17" customFormat="1" ht="39" customHeight="1" thickBot="1" x14ac:dyDescent="0.65">
      <c r="A2" s="5"/>
      <c r="C2" s="18" t="s">
        <v>316</v>
      </c>
      <c r="D2" s="18"/>
      <c r="E2" s="18"/>
      <c r="F2" s="18"/>
      <c r="G2" s="18"/>
      <c r="H2" s="18"/>
      <c r="I2" s="18"/>
      <c r="J2" s="18"/>
      <c r="K2" s="18"/>
      <c r="L2" s="18"/>
      <c r="M2" s="18"/>
      <c r="N2" s="18"/>
      <c r="O2" s="18"/>
      <c r="P2" s="18"/>
      <c r="Q2" s="18"/>
    </row>
    <row r="3" spans="1:17" s="15" customFormat="1" ht="23.5" customHeight="1" thickTop="1" x14ac:dyDescent="0.35">
      <c r="A3" s="5"/>
    </row>
    <row r="4" spans="1:17" ht="8.5" customHeight="1" x14ac:dyDescent="0.35"/>
    <row r="5" spans="1:17" ht="4.5" customHeight="1" x14ac:dyDescent="0.35"/>
    <row r="6" spans="1:17" ht="20.5" customHeight="1" x14ac:dyDescent="0.35">
      <c r="C6" s="19" t="s">
        <v>319</v>
      </c>
      <c r="D6" s="19"/>
      <c r="E6" s="19"/>
      <c r="F6" s="19"/>
      <c r="G6" s="19"/>
      <c r="H6" s="19"/>
    </row>
    <row r="7" spans="1:17" ht="33" customHeight="1" x14ac:dyDescent="0.35"/>
    <row r="15" spans="1:17" x14ac:dyDescent="0.35">
      <c r="O15" s="17"/>
    </row>
  </sheetData>
  <mergeCells count="2">
    <mergeCell ref="C2:Q2"/>
    <mergeCell ref="C6:H6"/>
  </mergeCells>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B4D9D5-B351-46EB-A728-C3362FE437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Beatriz Fraga (Omnicom)</cp:lastModifiedBy>
  <dcterms:created xsi:type="dcterms:W3CDTF">2024-12-19T13:13:10Z</dcterms:created>
  <dcterms:modified xsi:type="dcterms:W3CDTF">2026-10-06T21:26:01Z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